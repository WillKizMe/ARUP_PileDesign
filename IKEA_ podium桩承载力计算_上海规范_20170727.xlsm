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LIVAT Shanghai-240736\4-11 Foundation\Digital update\"/>
    </mc:Choice>
  </mc:AlternateContent>
  <bookViews>
    <workbookView xWindow="450" yWindow="135" windowWidth="13125" windowHeight="8790" tabRatio="775" firstSheet="1" activeTab="7"/>
  </bookViews>
  <sheets>
    <sheet name="Cover" sheetId="1" r:id="rId1"/>
    <sheet name="Notes" sheetId="9" r:id="rId2"/>
    <sheet name="InPutSolidPhisicalP" sheetId="99" r:id="rId3"/>
    <sheet name="钢筋强度和模量" sheetId="101" r:id="rId4"/>
    <sheet name="Input" sheetId="96" r:id="rId5"/>
    <sheet name="Output" sheetId="97" r:id="rId6"/>
    <sheet name="PileComparison" sheetId="102" r:id="rId7"/>
    <sheet name="PPTOutPut" sheetId="103" r:id="rId8"/>
    <sheet name="CalSheetPress" sheetId="105" r:id="rId9"/>
    <sheet name="CalSheet" sheetId="84" r:id="rId10"/>
    <sheet name="ReinForcementPress" sheetId="106" r:id="rId11"/>
    <sheet name="Reinforcement" sheetId="100" r:id="rId12"/>
    <sheet name="CalCheckSheet" sheetId="104" r:id="rId13"/>
    <sheet name="D800-拔-0.75L" sheetId="77" r:id="rId14"/>
    <sheet name="试桩D650开挖段" sheetId="78" r:id="rId15"/>
  </sheets>
  <functionGroups builtInGroupCount="18"/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6" hidden="1">PileComparison!$A$1:$K$1</definedName>
    <definedName name="Authorisation">Cover!$B$39</definedName>
    <definedName name="Checked" localSheetId="8">[1]Cover!$F$11</definedName>
    <definedName name="Checked">Cover!$F$11</definedName>
    <definedName name="data">[2]zk1!$G$14:$L$1542</definedName>
    <definedName name="Date" localSheetId="8">[1]Cover!$F$13</definedName>
    <definedName name="date" localSheetId="11">[3]Cover!$F$14</definedName>
    <definedName name="date" localSheetId="10">[4]Cover!$F$14</definedName>
    <definedName name="date" localSheetId="3">[3]Cover!$F$14</definedName>
    <definedName name="Date">Cover!$F$13</definedName>
    <definedName name="DateMade">Cover!$F$13</definedName>
    <definedName name="Description">Cover!$F$15</definedName>
    <definedName name="dr" localSheetId="8">[5]Cover!$F$10</definedName>
    <definedName name="dr" localSheetId="11">[3]Cover!$F$10</definedName>
    <definedName name="dr" localSheetId="10">[4]Cover!$F$10</definedName>
    <definedName name="dr" localSheetId="3">[3]Cover!$F$10</definedName>
    <definedName name="dr">[6]Cover!$F$10</definedName>
    <definedName name="Drawing_Reference" localSheetId="8">[1]Cover!$F$21</definedName>
    <definedName name="Drawing_Reference">Cover!$F$21</definedName>
    <definedName name="Filename">Cover!$F$23</definedName>
    <definedName name="index">[2]zk1!$D$14:$D$1542</definedName>
    <definedName name="JobNumber" localSheetId="8">[1]Cover!$F$7</definedName>
    <definedName name="JobNumber" localSheetId="11">[3]Cover!$F$7</definedName>
    <definedName name="JobNumber" localSheetId="10">[4]Cover!$F$7</definedName>
    <definedName name="JobNumber" localSheetId="3">[3]Cover!$F$7</definedName>
    <definedName name="JobNumber">Cover!$F$7</definedName>
    <definedName name="JobTitle" localSheetId="8">[1]Cover!$F$5</definedName>
    <definedName name="JobTitle" localSheetId="11">[3]Cover!$F$5</definedName>
    <definedName name="JobTitle" localSheetId="10">[4]Cover!$F$5</definedName>
    <definedName name="JobTitle" localSheetId="3">[3]Cover!$F$5</definedName>
    <definedName name="JobTitle">Cover!$F$5</definedName>
    <definedName name="MadeBy" localSheetId="8">[1]Cover!$F$9</definedName>
    <definedName name="MadeBy" localSheetId="11">[3]Cover!$F$9</definedName>
    <definedName name="MadeBy" localSheetId="10">[4]Cover!$F$9</definedName>
    <definedName name="MadeBy" localSheetId="3">[3]Cover!$F$9</definedName>
    <definedName name="MadeBy">Cover!$F$9</definedName>
    <definedName name="Member_Location" localSheetId="8">[1]Cover!$F$19</definedName>
    <definedName name="Member_Location">Cover!$F$19</definedName>
    <definedName name="ml" localSheetId="8">[5]Cover!$F$8</definedName>
    <definedName name="ml" localSheetId="11">[3]Cover!$F$8</definedName>
    <definedName name="ml" localSheetId="10">[4]Cover!$F$8</definedName>
    <definedName name="ml" localSheetId="3">[3]Cover!$F$8</definedName>
    <definedName name="ml">[6]Cover!$F$8</definedName>
    <definedName name="_xlnm.Print_Area" localSheetId="12">CalCheckSheet!$A$1:$S$49</definedName>
    <definedName name="_xlnm.Print_Area" localSheetId="9">CalSheet!$A$1:$S$49</definedName>
    <definedName name="_xlnm.Print_Area" localSheetId="8">CalSheetPress!$A$1:$R$57</definedName>
    <definedName name="_xlnm.Print_Area" localSheetId="13">'D800-拔-0.75L'!$A$1:$S$48</definedName>
    <definedName name="_xlnm.Print_Area" localSheetId="11">Reinforcement!$A$1:$J$41</definedName>
    <definedName name="_xlnm.Print_Area" localSheetId="10">ReinForcementPress!$A$1:$I$32</definedName>
    <definedName name="_xlnm.Print_Area" localSheetId="14">试桩D650开挖段!$A$1:$S$44</definedName>
    <definedName name="_xlnm.Print_Titles" localSheetId="12">CalCheckSheet!$1:$1</definedName>
    <definedName name="_xlnm.Print_Titles" localSheetId="9">CalSheet!$1:$1</definedName>
    <definedName name="_xlnm.Print_Titles" localSheetId="8">CalSheetPress!$1:$1</definedName>
    <definedName name="_xlnm.Print_Titles" localSheetId="13">'D800-拔-0.75L'!$1:$1</definedName>
    <definedName name="_xlnm.Print_Titles" localSheetId="14">试桩D650开挖段!$1:$1</definedName>
    <definedName name="Rev">Cover!$B$40</definedName>
    <definedName name="Revision" localSheetId="8">[1]Cover!$F$48</definedName>
    <definedName name="Revision">Cover!$F$48</definedName>
    <definedName name="RevTable1">Cover!$B$50</definedName>
    <definedName name="SheetNo" localSheetId="8">[1]Cover!$F$17</definedName>
    <definedName name="SheetNo">Cover!$F$17</definedName>
    <definedName name="SheetTable1">Cover!$B$28</definedName>
  </definedNames>
  <calcPr calcId="152511"/>
</workbook>
</file>

<file path=xl/calcChain.xml><?xml version="1.0" encoding="utf-8"?>
<calcChain xmlns="http://schemas.openxmlformats.org/spreadsheetml/2006/main">
  <c r="H46" i="105" l="1"/>
  <c r="H47" i="105" s="1"/>
  <c r="T27" i="105"/>
  <c r="H26" i="105"/>
  <c r="H27" i="105"/>
  <c r="H28" i="105"/>
  <c r="H29" i="105"/>
  <c r="H30" i="105"/>
  <c r="H31" i="105"/>
  <c r="H32" i="105"/>
  <c r="H33" i="105"/>
  <c r="H34" i="105"/>
  <c r="H35" i="105"/>
  <c r="H36" i="105"/>
  <c r="H37" i="105"/>
  <c r="H38" i="105"/>
  <c r="H22" i="105"/>
  <c r="H23" i="105"/>
  <c r="H24" i="105"/>
  <c r="H25" i="105"/>
  <c r="S4" i="96"/>
  <c r="S3" i="96"/>
  <c r="F25" i="105"/>
  <c r="F26" i="105" s="1"/>
  <c r="F35" i="105"/>
  <c r="F36" i="105"/>
  <c r="F37" i="105"/>
  <c r="F38" i="105"/>
  <c r="F24" i="105"/>
  <c r="D24" i="105"/>
  <c r="D25" i="105"/>
  <c r="D26" i="105"/>
  <c r="D27" i="105"/>
  <c r="D28" i="105"/>
  <c r="D29" i="105"/>
  <c r="D30" i="105"/>
  <c r="D31" i="105"/>
  <c r="D32" i="105"/>
  <c r="D33" i="105"/>
  <c r="D34" i="105"/>
  <c r="D35" i="105"/>
  <c r="D36" i="105"/>
  <c r="D37" i="105"/>
  <c r="D38" i="105"/>
  <c r="D23" i="105"/>
  <c r="D34" i="84"/>
  <c r="G93" i="100"/>
  <c r="G87" i="100"/>
  <c r="G86" i="100"/>
  <c r="G84" i="100"/>
  <c r="G83" i="100"/>
  <c r="G82" i="100"/>
  <c r="G61" i="100"/>
  <c r="G55" i="100"/>
  <c r="G54" i="100"/>
  <c r="G52" i="100"/>
  <c r="G51" i="100"/>
  <c r="G50" i="100"/>
  <c r="G49" i="106"/>
  <c r="G45" i="106"/>
  <c r="G44" i="106"/>
  <c r="G42" i="106"/>
  <c r="G41" i="106"/>
  <c r="D53" i="106" s="1"/>
  <c r="G40" i="106"/>
  <c r="G23" i="106"/>
  <c r="G19" i="106"/>
  <c r="G18" i="106"/>
  <c r="G16" i="106"/>
  <c r="G15" i="106"/>
  <c r="G14" i="106"/>
  <c r="D27" i="106" s="1"/>
  <c r="G58" i="106"/>
  <c r="G50" i="106"/>
  <c r="I50" i="106" s="1"/>
  <c r="I47" i="106"/>
  <c r="G47" i="106"/>
  <c r="G46" i="106"/>
  <c r="J35" i="106"/>
  <c r="J34" i="106"/>
  <c r="G26" i="106"/>
  <c r="G21" i="106"/>
  <c r="I21" i="106" s="1"/>
  <c r="G20" i="106"/>
  <c r="G24" i="106" s="1"/>
  <c r="I24" i="106" s="1"/>
  <c r="V28" i="105"/>
  <c r="U28" i="105"/>
  <c r="V27" i="105"/>
  <c r="U27" i="105"/>
  <c r="V26" i="105"/>
  <c r="U26" i="105"/>
  <c r="V25" i="105"/>
  <c r="U25" i="105"/>
  <c r="V23" i="105"/>
  <c r="U23" i="105"/>
  <c r="V22" i="105"/>
  <c r="U22" i="105"/>
  <c r="V21" i="105"/>
  <c r="U21" i="105"/>
  <c r="V20" i="105"/>
  <c r="U20" i="105"/>
  <c r="V18" i="105"/>
  <c r="U18" i="105"/>
  <c r="V17" i="105"/>
  <c r="U17" i="105"/>
  <c r="V16" i="105"/>
  <c r="U16" i="105"/>
  <c r="K16" i="105"/>
  <c r="V15" i="105"/>
  <c r="U15" i="105"/>
  <c r="K14" i="105"/>
  <c r="J47" i="105" s="1"/>
  <c r="V13" i="105"/>
  <c r="U13" i="105"/>
  <c r="K13" i="105"/>
  <c r="V12" i="105"/>
  <c r="U12" i="105"/>
  <c r="V11" i="105"/>
  <c r="U11" i="105"/>
  <c r="V10" i="105"/>
  <c r="U10" i="105"/>
  <c r="V8" i="105"/>
  <c r="U8" i="105"/>
  <c r="V7" i="105"/>
  <c r="U7" i="105"/>
  <c r="V6" i="105"/>
  <c r="U6" i="105"/>
  <c r="V5" i="105"/>
  <c r="U5" i="105"/>
  <c r="T5" i="105"/>
  <c r="T6" i="105" s="1"/>
  <c r="T7" i="105" s="1"/>
  <c r="T8" i="105" s="1"/>
  <c r="T9" i="105" s="1"/>
  <c r="T10" i="105" s="1"/>
  <c r="T11" i="105" s="1"/>
  <c r="T12" i="105" s="1"/>
  <c r="T13" i="105" s="1"/>
  <c r="T14" i="105" s="1"/>
  <c r="T15" i="105" s="1"/>
  <c r="T16" i="105" s="1"/>
  <c r="T17" i="105" s="1"/>
  <c r="T18" i="105" s="1"/>
  <c r="T19" i="105" s="1"/>
  <c r="T20" i="105" s="1"/>
  <c r="T21" i="105" s="1"/>
  <c r="T22" i="105" s="1"/>
  <c r="T23" i="105" s="1"/>
  <c r="T24" i="105" s="1"/>
  <c r="T25" i="105" s="1"/>
  <c r="T26" i="105" s="1"/>
  <c r="T28" i="105" s="1"/>
  <c r="T29" i="105" s="1"/>
  <c r="F27" i="105" l="1"/>
  <c r="F28" i="105" s="1"/>
  <c r="F29" i="105" s="1"/>
  <c r="F30" i="105" s="1"/>
  <c r="F31" i="105" s="1"/>
  <c r="F32" i="105" s="1"/>
  <c r="F33" i="105" s="1"/>
  <c r="F34" i="105" s="1"/>
  <c r="F22" i="105"/>
  <c r="K22" i="105" s="1"/>
  <c r="F53" i="106"/>
  <c r="H53" i="106" s="1"/>
  <c r="G59" i="106" s="1"/>
  <c r="F27" i="106"/>
  <c r="H27" i="106" s="1"/>
  <c r="H28" i="106" s="1"/>
  <c r="H48" i="105"/>
  <c r="K35" i="105"/>
  <c r="O8" i="96"/>
  <c r="N8" i="96"/>
  <c r="L54" i="105" l="1"/>
  <c r="L45" i="104"/>
  <c r="N36" i="104"/>
  <c r="K36" i="104"/>
  <c r="H36" i="104"/>
  <c r="F36" i="104"/>
  <c r="D36" i="104"/>
  <c r="K35" i="104"/>
  <c r="H35" i="104"/>
  <c r="F35" i="104"/>
  <c r="N35" i="104" s="1"/>
  <c r="D35" i="104"/>
  <c r="K34" i="104"/>
  <c r="H34" i="104"/>
  <c r="F34" i="104"/>
  <c r="N34" i="104" s="1"/>
  <c r="D34" i="104"/>
  <c r="K33" i="104"/>
  <c r="N33" i="104" s="1"/>
  <c r="H33" i="104"/>
  <c r="F33" i="104"/>
  <c r="D33" i="104"/>
  <c r="K32" i="104"/>
  <c r="H32" i="104"/>
  <c r="F32" i="104"/>
  <c r="N32" i="104" s="1"/>
  <c r="D32" i="104"/>
  <c r="K31" i="104"/>
  <c r="H31" i="104"/>
  <c r="F31" i="104"/>
  <c r="N31" i="104" s="1"/>
  <c r="D31" i="104"/>
  <c r="K30" i="104"/>
  <c r="H30" i="104"/>
  <c r="D30" i="104"/>
  <c r="K29" i="104"/>
  <c r="H29" i="104"/>
  <c r="D29" i="104"/>
  <c r="K28" i="104"/>
  <c r="H28" i="104"/>
  <c r="D28" i="104"/>
  <c r="K27" i="104"/>
  <c r="H27" i="104"/>
  <c r="D27" i="104"/>
  <c r="K26" i="104"/>
  <c r="H26" i="104"/>
  <c r="D26" i="104"/>
  <c r="K25" i="104"/>
  <c r="H25" i="104"/>
  <c r="D25" i="104"/>
  <c r="K24" i="104"/>
  <c r="H24" i="104"/>
  <c r="D24" i="104"/>
  <c r="K23" i="104"/>
  <c r="H23" i="104"/>
  <c r="D23" i="104"/>
  <c r="K22" i="104"/>
  <c r="H22" i="104"/>
  <c r="N22" i="104" s="1"/>
  <c r="F22" i="104"/>
  <c r="F23" i="104" s="1"/>
  <c r="D22" i="104"/>
  <c r="K21" i="104"/>
  <c r="H21" i="104"/>
  <c r="F21" i="104"/>
  <c r="N21" i="104" s="1"/>
  <c r="D21" i="104"/>
  <c r="N20" i="104"/>
  <c r="K20" i="104"/>
  <c r="H20" i="104"/>
  <c r="F20" i="104"/>
  <c r="D20" i="104"/>
  <c r="K19" i="104"/>
  <c r="H19" i="104"/>
  <c r="F19" i="104"/>
  <c r="N19" i="104" s="1"/>
  <c r="D19" i="104"/>
  <c r="K18" i="104"/>
  <c r="H18" i="104"/>
  <c r="F18" i="104"/>
  <c r="N18" i="104" s="1"/>
  <c r="K14" i="104"/>
  <c r="K12" i="104"/>
  <c r="K10" i="104"/>
  <c r="F40" i="104" s="1"/>
  <c r="N23" i="104" l="1"/>
  <c r="F24" i="104"/>
  <c r="C2" i="96"/>
  <c r="B1" i="96"/>
  <c r="L33" i="96"/>
  <c r="F25" i="104" l="1"/>
  <c r="N24" i="104"/>
  <c r="C8" i="96"/>
  <c r="N25" i="104" l="1"/>
  <c r="F26" i="104"/>
  <c r="K21" i="84"/>
  <c r="K22" i="84"/>
  <c r="K23" i="84"/>
  <c r="K24" i="84"/>
  <c r="K25" i="84"/>
  <c r="K26" i="84"/>
  <c r="K27" i="84"/>
  <c r="K28" i="84"/>
  <c r="K29" i="84"/>
  <c r="K30" i="84"/>
  <c r="K31" i="84"/>
  <c r="K32" i="84"/>
  <c r="K33" i="84"/>
  <c r="K34" i="84"/>
  <c r="K35" i="84"/>
  <c r="K36" i="84"/>
  <c r="K18" i="84"/>
  <c r="K19" i="84"/>
  <c r="K20" i="84"/>
  <c r="N26" i="104" l="1"/>
  <c r="F27" i="104"/>
  <c r="N27" i="104" l="1"/>
  <c r="F28" i="104"/>
  <c r="D19" i="84"/>
  <c r="D20" i="84"/>
  <c r="D21" i="84"/>
  <c r="D22" i="84"/>
  <c r="D23" i="84"/>
  <c r="D24" i="84"/>
  <c r="D25" i="84"/>
  <c r="D26" i="84"/>
  <c r="D27" i="84"/>
  <c r="D28" i="84"/>
  <c r="D29" i="84"/>
  <c r="D30" i="84"/>
  <c r="D31" i="84"/>
  <c r="D33" i="84"/>
  <c r="D35" i="84"/>
  <c r="D36" i="84"/>
  <c r="D32" i="84"/>
  <c r="K14" i="84"/>
  <c r="F29" i="104" l="1"/>
  <c r="N28" i="104"/>
  <c r="N2" i="96"/>
  <c r="N7" i="96" s="1"/>
  <c r="O7" i="96"/>
  <c r="P7" i="96"/>
  <c r="E7" i="96"/>
  <c r="F30" i="104" l="1"/>
  <c r="N30" i="104" s="1"/>
  <c r="N29" i="104"/>
  <c r="F39" i="104"/>
  <c r="G24" i="100"/>
  <c r="G18" i="100"/>
  <c r="G17" i="100"/>
  <c r="G15" i="100"/>
  <c r="G14" i="100"/>
  <c r="F38" i="104" l="1"/>
  <c r="H38" i="104" s="1"/>
  <c r="H45" i="104"/>
  <c r="H46" i="104" s="1"/>
  <c r="L47" i="104" s="1"/>
  <c r="N37" i="104"/>
  <c r="H40" i="104" s="1"/>
  <c r="F41" i="104" s="1"/>
  <c r="H44" i="104" s="1"/>
  <c r="H47" i="104" s="1"/>
  <c r="H48" i="104" s="1"/>
  <c r="H49" i="104" s="1"/>
  <c r="G97" i="100"/>
  <c r="G95" i="100"/>
  <c r="G94" i="100"/>
  <c r="G89" i="100"/>
  <c r="I89" i="100" s="1"/>
  <c r="G88" i="100"/>
  <c r="D102" i="100"/>
  <c r="F102" i="100" s="1"/>
  <c r="G96" i="100"/>
  <c r="K77" i="100"/>
  <c r="K75" i="100"/>
  <c r="K76" i="100" s="1"/>
  <c r="G65" i="100"/>
  <c r="G57" i="100"/>
  <c r="I57" i="100" s="1"/>
  <c r="G56" i="100"/>
  <c r="G63" i="100" s="1"/>
  <c r="K46" i="100"/>
  <c r="K44" i="100"/>
  <c r="K45" i="100" s="1"/>
  <c r="E32" i="100"/>
  <c r="G28" i="100"/>
  <c r="G20" i="100"/>
  <c r="I20" i="100" s="1"/>
  <c r="G19" i="100"/>
  <c r="G26" i="100" s="1"/>
  <c r="D33" i="100" l="1"/>
  <c r="F33" i="100" s="1"/>
  <c r="E36" i="100"/>
  <c r="G98" i="100"/>
  <c r="I98" i="100" s="1"/>
  <c r="D70" i="100"/>
  <c r="F70" i="100" s="1"/>
  <c r="G62" i="100"/>
  <c r="G64" i="100" s="1"/>
  <c r="G66" i="100" s="1"/>
  <c r="I66" i="100" s="1"/>
  <c r="G25" i="100"/>
  <c r="G27" i="100" s="1"/>
  <c r="G29" i="100" s="1"/>
  <c r="I29" i="100" s="1"/>
  <c r="H19" i="84" l="1"/>
  <c r="H20" i="84"/>
  <c r="H21" i="84"/>
  <c r="H22" i="84"/>
  <c r="H23" i="84"/>
  <c r="H24" i="84"/>
  <c r="H25" i="84"/>
  <c r="H26" i="84"/>
  <c r="H27" i="84"/>
  <c r="H28" i="84"/>
  <c r="H29" i="84"/>
  <c r="H30" i="84"/>
  <c r="H31" i="84"/>
  <c r="H32" i="84"/>
  <c r="H33" i="84"/>
  <c r="H34" i="84"/>
  <c r="H35" i="84"/>
  <c r="H36" i="84"/>
  <c r="H18" i="84"/>
  <c r="B5" i="96"/>
  <c r="D11" i="96" l="1"/>
  <c r="B6" i="96" s="1"/>
  <c r="F19" i="84"/>
  <c r="N19" i="84" s="1"/>
  <c r="F20" i="84"/>
  <c r="N20" i="84" s="1"/>
  <c r="F31" i="84"/>
  <c r="N31" i="84" s="1"/>
  <c r="F32" i="84"/>
  <c r="N32" i="84" s="1"/>
  <c r="F36" i="84"/>
  <c r="N36" i="84" s="1"/>
  <c r="F21" i="84"/>
  <c r="L45" i="84"/>
  <c r="K12" i="84"/>
  <c r="K10" i="84"/>
  <c r="F40" i="84" s="1"/>
  <c r="E12" i="78"/>
  <c r="F23" i="78"/>
  <c r="F37" i="77"/>
  <c r="F24" i="77"/>
  <c r="F39" i="77"/>
  <c r="F38" i="77"/>
  <c r="H38" i="77" s="1"/>
  <c r="F37" i="78"/>
  <c r="F21" i="78"/>
  <c r="F20" i="78"/>
  <c r="N20" i="78"/>
  <c r="D31" i="78"/>
  <c r="N30" i="78"/>
  <c r="D30" i="78"/>
  <c r="D29" i="78"/>
  <c r="N29" i="78"/>
  <c r="D28" i="78"/>
  <c r="N28" i="78"/>
  <c r="D27" i="78"/>
  <c r="N27" i="78"/>
  <c r="N26" i="78"/>
  <c r="D26" i="78"/>
  <c r="D25" i="78"/>
  <c r="N25" i="78"/>
  <c r="D24" i="78"/>
  <c r="D23" i="78"/>
  <c r="D22" i="78"/>
  <c r="F22" i="78" s="1"/>
  <c r="N22" i="78" s="1"/>
  <c r="N37" i="78" s="1"/>
  <c r="H40" i="78" s="1"/>
  <c r="N21" i="78"/>
  <c r="D21" i="78"/>
  <c r="N19" i="78"/>
  <c r="C19" i="78"/>
  <c r="D20" i="78"/>
  <c r="N18" i="78"/>
  <c r="C18" i="78"/>
  <c r="D19" i="78"/>
  <c r="K10" i="78"/>
  <c r="F40" i="78" s="1"/>
  <c r="N24" i="78"/>
  <c r="N26" i="77"/>
  <c r="D29" i="77"/>
  <c r="N28" i="77"/>
  <c r="D28" i="77"/>
  <c r="N27" i="77"/>
  <c r="D27" i="77"/>
  <c r="D26" i="77"/>
  <c r="D25" i="77"/>
  <c r="D24" i="77"/>
  <c r="N23" i="77"/>
  <c r="D23" i="77"/>
  <c r="N22" i="77"/>
  <c r="D22" i="77"/>
  <c r="N21" i="77"/>
  <c r="N37" i="77" s="1"/>
  <c r="H40" i="77" s="1"/>
  <c r="D21" i="77"/>
  <c r="N20" i="77"/>
  <c r="D20" i="77"/>
  <c r="N19" i="77"/>
  <c r="C19" i="77"/>
  <c r="N18" i="77"/>
  <c r="C18" i="77"/>
  <c r="D19" i="77"/>
  <c r="K12" i="77"/>
  <c r="K10" i="77"/>
  <c r="F40" i="77"/>
  <c r="F13" i="1"/>
  <c r="F23" i="1"/>
  <c r="N25" i="77"/>
  <c r="N24" i="77"/>
  <c r="K12" i="78"/>
  <c r="N23" i="78"/>
  <c r="F41" i="77" l="1"/>
  <c r="F41" i="78"/>
  <c r="F39" i="78"/>
  <c r="F38" i="78" s="1"/>
  <c r="H38" i="78" s="1"/>
  <c r="F18" i="84"/>
  <c r="N18" i="84" s="1"/>
  <c r="F35" i="84"/>
  <c r="N35" i="84" s="1"/>
  <c r="F34" i="84"/>
  <c r="N34" i="84" s="1"/>
  <c r="F22" i="84"/>
  <c r="N22" i="84" s="1"/>
  <c r="F33" i="84"/>
  <c r="N33" i="84" s="1"/>
  <c r="N21" i="84"/>
  <c r="F23" i="84" l="1"/>
  <c r="F24" i="84" s="1"/>
  <c r="F25" i="84" s="1"/>
  <c r="F26" i="84" s="1"/>
  <c r="F46" i="77"/>
  <c r="F45" i="77"/>
  <c r="N26" i="84" l="1"/>
  <c r="F27" i="84"/>
  <c r="N23" i="84"/>
  <c r="N25" i="84"/>
  <c r="N24" i="84"/>
  <c r="F28" i="84" l="1"/>
  <c r="N27" i="84"/>
  <c r="N28" i="84" l="1"/>
  <c r="F29" i="84"/>
  <c r="N29" i="84" l="1"/>
  <c r="F30" i="84"/>
  <c r="F39" i="84" l="1"/>
  <c r="H45" i="84" s="1"/>
  <c r="H46" i="84" s="1"/>
  <c r="L47" i="84" s="1"/>
  <c r="N30" i="84"/>
  <c r="N37" i="84" s="1"/>
  <c r="H40" i="84" s="1"/>
  <c r="F41" i="84" s="1"/>
  <c r="H44" i="84" s="1"/>
  <c r="H47" i="84" s="1"/>
  <c r="H48" i="84" l="1"/>
  <c r="H49" i="84" s="1"/>
  <c r="F38" i="84"/>
  <c r="H38" i="84" s="1"/>
  <c r="K24" i="105"/>
  <c r="K28" i="105"/>
  <c r="K31" i="105"/>
  <c r="K34" i="105"/>
  <c r="K33" i="105"/>
  <c r="K30" i="105"/>
  <c r="K29" i="105"/>
  <c r="K27" i="105"/>
  <c r="K26" i="105"/>
  <c r="K32" i="105"/>
  <c r="K25" i="105"/>
  <c r="F23" i="105"/>
  <c r="K23" i="105" s="1"/>
  <c r="K39" i="105" l="1"/>
  <c r="F42" i="105" s="1"/>
  <c r="H51" i="105" s="1"/>
  <c r="F41" i="105"/>
  <c r="F40" i="105" s="1"/>
  <c r="H40" i="105" s="1"/>
  <c r="H53" i="105" l="1"/>
  <c r="J54" i="105" s="1"/>
  <c r="H52" i="105"/>
  <c r="N54" i="105" s="1"/>
  <c r="H54" i="105"/>
  <c r="H55" i="105" l="1"/>
  <c r="H56" i="105" s="1"/>
  <c r="H57" i="105" s="1"/>
</calcChain>
</file>

<file path=xl/comments1.xml><?xml version="1.0" encoding="utf-8"?>
<comments xmlns="http://schemas.openxmlformats.org/spreadsheetml/2006/main">
  <authors>
    <author>Steve Kite</author>
  </authors>
  <commentList>
    <comment ref="F5" authorId="0" shapeId="0">
      <text>
        <r>
          <rPr>
            <b/>
            <sz val="8"/>
            <color indexed="81"/>
            <rFont val="Tahoma"/>
            <family val="2"/>
          </rPr>
          <t xml:space="preserve">Job Title </t>
        </r>
        <r>
          <rPr>
            <sz val="8"/>
            <color indexed="81"/>
            <rFont val="Tahoma"/>
            <family val="2"/>
          </rPr>
          <t>- read through to CalcSheet headers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Job Number</t>
        </r>
        <r>
          <rPr>
            <sz val="8"/>
            <color indexed="81"/>
            <rFont val="Tahoma"/>
            <family val="2"/>
          </rPr>
          <t xml:space="preserve"> - read through to CalcSheet headers (and written to file properties used by Columbus only if entered via QuickEdit.)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 xml:space="preserve">Initials </t>
        </r>
        <r>
          <rPr>
            <sz val="8"/>
            <color indexed="81"/>
            <rFont val="Tahoma"/>
            <family val="2"/>
          </rPr>
          <t>- read through to CalcSheet headers</t>
        </r>
      </text>
    </comment>
    <comment ref="F11" authorId="0" shapeId="0">
      <text>
        <r>
          <rPr>
            <b/>
            <sz val="8"/>
            <color indexed="81"/>
            <rFont val="Tahoma"/>
            <family val="2"/>
          </rPr>
          <t>Initials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3" authorId="0" shapeId="0">
      <text>
        <r>
          <rPr>
            <b/>
            <sz val="8"/>
            <color indexed="81"/>
            <rFont val="Tahoma"/>
            <family val="2"/>
          </rPr>
          <t>Date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5" authorId="0" shapeId="0">
      <text>
        <r>
          <rPr>
            <b/>
            <sz val="8"/>
            <color indexed="81"/>
            <rFont val="Tahoma"/>
            <family val="2"/>
          </rPr>
          <t>Description</t>
        </r>
        <r>
          <rPr>
            <sz val="8"/>
            <color indexed="81"/>
            <rFont val="Tahoma"/>
            <family val="2"/>
          </rPr>
          <t xml:space="preserve"> - Written to file properties (used by Columbus) only if entered via QuickEdit.</t>
        </r>
      </text>
    </comment>
    <comment ref="F17" authorId="0" shapeId="0">
      <text>
        <r>
          <rPr>
            <b/>
            <sz val="8"/>
            <color indexed="81"/>
            <rFont val="Tahoma"/>
            <family val="2"/>
          </rPr>
          <t>Sheet No. prefix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9" authorId="0" shapeId="0">
      <text>
        <r>
          <rPr>
            <b/>
            <sz val="8"/>
            <color indexed="81"/>
            <rFont val="Tahoma"/>
            <family val="2"/>
          </rPr>
          <t>Member/Location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21" authorId="0" shapeId="0">
      <text>
        <r>
          <rPr>
            <b/>
            <sz val="8"/>
            <color indexed="81"/>
            <rFont val="Tahoma"/>
            <family val="2"/>
          </rPr>
          <t>Drawing Reference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23" authorId="0" shapeId="0">
      <text>
        <r>
          <rPr>
            <b/>
            <sz val="8"/>
            <color indexed="81"/>
            <rFont val="Tahoma"/>
            <family val="2"/>
          </rPr>
          <t xml:space="preserve">Filename - </t>
        </r>
        <r>
          <rPr>
            <sz val="8"/>
            <color indexed="81"/>
            <rFont val="Tahoma"/>
            <family val="2"/>
          </rPr>
          <t xml:space="preserve">written to left footer of all sheets. Any edits to left footers will be overwritten. </t>
        </r>
      </text>
    </comment>
    <comment ref="B28" authorId="0" shapeId="0">
      <text>
        <r>
          <rPr>
            <sz val="8"/>
            <color indexed="81"/>
            <rFont val="Tahoma"/>
            <family val="2"/>
          </rPr>
          <t>Use</t>
        </r>
        <r>
          <rPr>
            <b/>
            <sz val="8"/>
            <color indexed="81"/>
            <rFont val="Tahoma"/>
            <family val="2"/>
          </rPr>
          <t xml:space="preserve"> QuickEdit</t>
        </r>
        <r>
          <rPr>
            <sz val="8"/>
            <color indexed="81"/>
            <rFont val="Tahoma"/>
            <family val="2"/>
          </rPr>
          <t xml:space="preserve"> to update list of sheet names</t>
        </r>
      </text>
    </comment>
    <comment ref="D28" authorId="0" shape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one line only</t>
        </r>
        <r>
          <rPr>
            <sz val="8"/>
            <color indexed="81"/>
            <rFont val="Tahoma"/>
            <family val="2"/>
          </rPr>
          <t xml:space="preserve"> for  description of each sheet</t>
        </r>
      </text>
    </comment>
    <comment ref="F48" authorId="0" shapeId="0">
      <text>
        <r>
          <rPr>
            <b/>
            <sz val="8"/>
            <color indexed="81"/>
            <rFont val="Tahoma"/>
            <family val="2"/>
          </rPr>
          <t>Current Revision</t>
        </r>
        <r>
          <rPr>
            <sz val="8"/>
            <color indexed="81"/>
            <rFont val="Tahoma"/>
            <family val="2"/>
          </rPr>
          <t xml:space="preserve"> - read through to CalcSheet headers. (and written to file properties used by Columbus only if entered via Update Revision.) </t>
        </r>
      </text>
    </comment>
    <comment ref="B50" authorId="0" shapeId="0">
      <text>
        <r>
          <rPr>
            <sz val="8"/>
            <color indexed="81"/>
            <rFont val="Tahoma"/>
            <family val="2"/>
          </rPr>
          <t>Use</t>
        </r>
        <r>
          <rPr>
            <b/>
            <sz val="8"/>
            <color indexed="81"/>
            <rFont val="Tahoma"/>
            <family val="2"/>
          </rPr>
          <t xml:space="preserve"> Update Revision </t>
        </r>
        <r>
          <rPr>
            <sz val="8"/>
            <color indexed="81"/>
            <rFont val="Tahoma"/>
            <family val="2"/>
          </rPr>
          <t>to add new revision</t>
        </r>
      </text>
    </comment>
  </commentList>
</comments>
</file>

<file path=xl/comments2.xml><?xml version="1.0" encoding="utf-8"?>
<comments xmlns="http://schemas.openxmlformats.org/spreadsheetml/2006/main">
  <authors>
    <author>adam pickles</author>
  </authors>
  <commentList>
    <comment ref="B2" authorId="0" shapeId="0">
      <text>
        <r>
          <rPr>
            <sz val="10"/>
            <color indexed="81"/>
            <rFont val="Arial"/>
            <family val="2"/>
          </rPr>
          <t xml:space="preserve">What the spreadsheet is for and what it does. </t>
        </r>
      </text>
    </comment>
    <comment ref="B8" authorId="0" shapeId="0">
      <text>
        <r>
          <rPr>
            <sz val="10"/>
            <color indexed="81"/>
            <rFont val="Arial"/>
            <family val="2"/>
          </rPr>
          <t>Any limitations/assumptions that there may be.</t>
        </r>
      </text>
    </comment>
    <comment ref="B14" authorId="0" shapeId="0">
      <text>
        <r>
          <rPr>
            <sz val="10"/>
            <color indexed="81"/>
            <rFont val="Arial"/>
            <family val="2"/>
          </rPr>
          <t>Where relevant, the code/guidance on which the calculation is based.</t>
        </r>
      </text>
    </comment>
    <comment ref="B20" authorId="0" shapeId="0">
      <text>
        <r>
          <rPr>
            <sz val="10"/>
            <color indexed="81"/>
            <rFont val="Arial"/>
            <family val="2"/>
          </rPr>
          <t>Sources of data which have been imported into this spreadsheets or are linked to from it, including (where relevant) date of import/link, file path of original data / URL, sheet where it's used.</t>
        </r>
      </text>
    </comment>
    <comment ref="B29" authorId="0" shapeId="0">
      <text>
        <r>
          <rPr>
            <sz val="10"/>
            <color indexed="81"/>
            <rFont val="Arial"/>
            <family val="2"/>
          </rPr>
          <t>Unusual or special features associated with the spreadsheet e.g. macros, iterative calculations.</t>
        </r>
      </text>
    </comment>
  </commentList>
</comments>
</file>

<file path=xl/comments3.xml><?xml version="1.0" encoding="utf-8"?>
<comments xmlns="http://schemas.openxmlformats.org/spreadsheetml/2006/main">
  <authors>
    <author>Ze-xing Wang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VBA自动写入的所有土层中层底最高绝对标高。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</t>
        </r>
        <r>
          <rPr>
            <b/>
            <sz val="9"/>
            <color indexed="10"/>
            <rFont val="宋体"/>
            <family val="3"/>
            <charset val="134"/>
          </rPr>
          <t>层顶</t>
        </r>
        <r>
          <rPr>
            <b/>
            <sz val="9"/>
            <color indexed="81"/>
            <rFont val="宋体"/>
            <family val="3"/>
            <charset val="134"/>
          </rPr>
          <t>最底绝对标高。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VBA自动写入的所有土层中层底最高绝对标高。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Ze-xing Wang</author>
  </authors>
  <commentList>
    <comment ref="B23" authorId="0" shapeId="0">
      <text>
        <r>
          <rPr>
            <b/>
            <sz val="9"/>
            <color indexed="81"/>
            <rFont val="Tahoma"/>
            <family val="2"/>
          </rPr>
          <t>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该列不要删除！</t>
        </r>
      </text>
    </comment>
  </commentList>
</comments>
</file>

<file path=xl/comments5.xml><?xml version="1.0" encoding="utf-8"?>
<comments xmlns="http://schemas.openxmlformats.org/spreadsheetml/2006/main">
  <authors>
    <author>Ze-xing Wang</author>
  </authors>
  <commentLis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筏板厚度
单位</t>
        </r>
        <r>
          <rPr>
            <sz val="9"/>
            <color indexed="81"/>
            <rFont val="Tahoma"/>
            <family val="2"/>
          </rPr>
          <t>(m)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给出最小有效桩长的桩底绝对标高！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桩端入持力层深度！</t>
        </r>
        <r>
          <rPr>
            <sz val="9"/>
            <color indexed="81"/>
            <rFont val="Tahoma"/>
            <family val="2"/>
          </rPr>
          <t>(m)
For MainCode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默认主筋截断一半</t>
        </r>
      </text>
    </comment>
    <comment ref="R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水浮力以最高水位到桩顶标高计算
水重度取</t>
        </r>
        <r>
          <rPr>
            <sz val="9"/>
            <color indexed="81"/>
            <rFont val="Tahoma"/>
            <family val="2"/>
          </rPr>
          <t>10KN/m3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高水位水头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低水位水头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上海规范80mm
国家规范50mm
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最小配筋率（抗压工况）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参数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最大桩径</t>
        </r>
        <r>
          <rPr>
            <sz val="9"/>
            <color indexed="81"/>
            <rFont val="Tahoma"/>
            <family val="2"/>
          </rPr>
          <t>(m)
For MainCode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Ze-xing Wang: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该参数只对抗压桩有效；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当后面（</t>
        </r>
        <r>
          <rPr>
            <sz val="9"/>
            <color indexed="81"/>
            <rFont val="Tahoma"/>
            <family val="2"/>
          </rPr>
          <t>F7</t>
        </r>
        <r>
          <rPr>
            <sz val="9"/>
            <color indexed="81"/>
            <rFont val="宋体"/>
            <family val="3"/>
            <charset val="134"/>
          </rPr>
          <t>）无数据时有效！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Ze-xing Wang: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该参数仅对抗压桩有效；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宋体"/>
            <family val="3"/>
            <charset val="134"/>
          </rPr>
          <t>权限高于注浆经验系数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宋体"/>
            <family val="3"/>
            <charset val="134"/>
          </rPr>
          <t xml:space="preserve">（单根桩注浆量）
</t>
        </r>
        <r>
          <rPr>
            <sz val="9"/>
            <color indexed="81"/>
            <rFont val="Tahoma"/>
            <family val="2"/>
          </rPr>
          <t xml:space="preserve">          </t>
        </r>
        <r>
          <rPr>
            <sz val="9"/>
            <color indexed="81"/>
            <rFont val="宋体"/>
            <family val="3"/>
            <charset val="134"/>
          </rPr>
          <t>（单位</t>
        </r>
        <r>
          <rPr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宋体"/>
            <family val="3"/>
            <charset val="134"/>
          </rPr>
          <t>）</t>
        </r>
      </text>
    </comment>
    <comment ref="P7" authorId="0" shapeId="0">
      <text>
        <r>
          <rPr>
            <b/>
            <sz val="9"/>
            <color indexed="81"/>
            <rFont val="Tahoma"/>
            <family val="2"/>
          </rPr>
          <t xml:space="preserve">Will Wang:
</t>
        </r>
        <r>
          <rPr>
            <b/>
            <sz val="9"/>
            <color indexed="81"/>
            <rFont val="宋体"/>
            <family val="3"/>
            <charset val="134"/>
          </rPr>
          <t>活荷载还未在计算中使用，所以该结果对各个计算不产生任何影响。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根据增量和步数计算的最深桩的深径比！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纯地下室与覆土荷载之和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不输入时，默认为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>；
该参数只针对抗压桩有效；
请注意根据注浆量调整承载力调整系数。</t>
        </r>
      </text>
    </comment>
  </commentList>
</comments>
</file>

<file path=xl/sharedStrings.xml><?xml version="1.0" encoding="utf-8"?>
<sst xmlns="http://schemas.openxmlformats.org/spreadsheetml/2006/main" count="1162" uniqueCount="480">
  <si>
    <t>JOB TITLE</t>
  </si>
  <si>
    <t>JOB NUMBER</t>
  </si>
  <si>
    <t>MADE BY</t>
  </si>
  <si>
    <t>Description of spreadsheet</t>
  </si>
  <si>
    <t>Filename</t>
  </si>
  <si>
    <t>REVISIONS</t>
  </si>
  <si>
    <t>Date</t>
  </si>
  <si>
    <t>Made by</t>
  </si>
  <si>
    <t xml:space="preserve"> Description</t>
  </si>
  <si>
    <t>Checked</t>
  </si>
  <si>
    <t>Sheet</t>
  </si>
  <si>
    <t>Description</t>
  </si>
  <si>
    <t>AUTHORISATION OF LATEST VERSION</t>
  </si>
  <si>
    <t>Type and method of check</t>
  </si>
  <si>
    <t>CONTENTS OF SPREADSHEET</t>
  </si>
  <si>
    <t>Rev.</t>
  </si>
  <si>
    <t>(if supplement is needed to Cover page)</t>
  </si>
  <si>
    <t>Who</t>
  </si>
  <si>
    <t>File path / URL</t>
  </si>
  <si>
    <t>(1) Purpose of spreadsheet</t>
  </si>
  <si>
    <t>(2) Key Assumptions</t>
  </si>
  <si>
    <t>(3) Basis of calculations</t>
  </si>
  <si>
    <t>(5) Special features</t>
  </si>
  <si>
    <t>(6) Diary of development, including checking</t>
  </si>
  <si>
    <t>10. Use the revision facility on the cover page and maintain the diary where further details required.</t>
  </si>
  <si>
    <t>(4) Sources of data &amp; Links to other spreadsheets</t>
  </si>
  <si>
    <t>Signatures &amp; dates:</t>
  </si>
  <si>
    <t>CHECKED BY</t>
  </si>
  <si>
    <t>DATE</t>
  </si>
  <si>
    <t>Member/Location</t>
  </si>
  <si>
    <t>Drawing Reference</t>
  </si>
  <si>
    <t>Best Practice Guide</t>
  </si>
  <si>
    <t xml:space="preserve">Made by </t>
  </si>
  <si>
    <t xml:space="preserve">Checked </t>
  </si>
  <si>
    <t xml:space="preserve">Current Revision </t>
  </si>
  <si>
    <t>Sheet Number prefix</t>
  </si>
  <si>
    <t/>
  </si>
  <si>
    <t xml:space="preserve"> 1. Don't duplicate raw data in the spreadsheet i.e. use cell references where possible.</t>
  </si>
  <si>
    <t xml:space="preserve"> 3. Explicitly define constants to be used in equations, using named cells where appropriate. </t>
  </si>
  <si>
    <t xml:space="preserve"> 4. Avoid password use unless essential and documented (to avoid loss of work with loss of password).</t>
  </si>
  <si>
    <t xml:space="preserve"> 5. Ensure extracts copied to other documents can be traced back to the spreadsheet.</t>
  </si>
  <si>
    <t xml:space="preserve"> 6. Plot to engineering scale whenever sensible to do so, and make units obvious.</t>
  </si>
  <si>
    <t xml:space="preserve"> 8. Give sheets &amp; workbooks descriptive names.</t>
  </si>
  <si>
    <t xml:space="preserve"> 9. Use comments to describe the purpose of individual cells and ranges of cells.</t>
  </si>
  <si>
    <t xml:space="preserve"> 2. Use colours to distinguish between fixed data, user-variable data, calculations and results.</t>
  </si>
  <si>
    <t xml:space="preserve"> 7. For charts, use colours/patterns which will be distinguishable if printed or photocopied in black &amp; white.</t>
  </si>
  <si>
    <t>Pile Capacity</t>
  </si>
  <si>
    <t>Cover</t>
  </si>
  <si>
    <t>Notes</t>
  </si>
  <si>
    <t>层底标高</t>
  </si>
  <si>
    <t>(m)</t>
  </si>
  <si>
    <t>m</t>
  </si>
  <si>
    <t>室内地面标高 =</t>
  </si>
  <si>
    <t>桩底标高 =</t>
  </si>
  <si>
    <r>
      <t>l</t>
    </r>
    <r>
      <rPr>
        <i/>
        <vertAlign val="subscript"/>
        <sz val="10"/>
        <rFont val="Arial"/>
        <family val="2"/>
      </rPr>
      <t>i</t>
    </r>
    <r>
      <rPr>
        <i/>
        <sz val="10"/>
        <rFont val="Arial"/>
        <family val="2"/>
      </rPr>
      <t xml:space="preserve"> (m)</t>
    </r>
  </si>
  <si>
    <r>
      <t>f</t>
    </r>
    <r>
      <rPr>
        <i/>
        <vertAlign val="subscript"/>
        <sz val="10"/>
        <rFont val="Arial"/>
        <family val="2"/>
      </rPr>
      <t>si</t>
    </r>
    <r>
      <rPr>
        <i/>
        <sz val="10"/>
        <rFont val="Arial"/>
        <family val="2"/>
      </rPr>
      <t xml:space="preserve"> (kPa)</t>
    </r>
  </si>
  <si>
    <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</si>
  <si>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t>侧阻计算</t>
  </si>
  <si>
    <t>土层名称</t>
  </si>
  <si>
    <t>土层厚度</t>
  </si>
  <si>
    <t>桩周土厚度</t>
  </si>
  <si>
    <t>极限侧阻标准值</t>
  </si>
  <si>
    <t>桩顶标高 =</t>
  </si>
  <si>
    <t>有效桩长 =</t>
  </si>
  <si>
    <t>kN</t>
  </si>
  <si>
    <t>x</t>
  </si>
  <si>
    <t>=</t>
  </si>
  <si>
    <t>+</t>
  </si>
  <si>
    <t>单桩承载力计算</t>
  </si>
  <si>
    <r>
      <t>表7.2.9 抗拔承载力系数</t>
    </r>
    <r>
      <rPr>
        <sz val="10"/>
        <rFont val="Calibri"/>
        <family val="2"/>
      </rPr>
      <t>λ</t>
    </r>
  </si>
  <si>
    <t>土的类型</t>
  </si>
  <si>
    <t>砂土</t>
  </si>
  <si>
    <t>黏性土、粉性土</t>
  </si>
  <si>
    <t>λ</t>
  </si>
  <si>
    <t>0.6～0.7</t>
  </si>
  <si>
    <t>0.7～0.8</t>
  </si>
  <si>
    <r>
      <t>按《上海市地基基础设计规范》</t>
    </r>
    <r>
      <rPr>
        <sz val="10"/>
        <rFont val="Arial"/>
        <family val="2"/>
      </rPr>
      <t>DBJ08-11-2010</t>
    </r>
    <r>
      <rPr>
        <sz val="10"/>
        <rFont val="Arial"/>
        <family val="2"/>
      </rPr>
      <t>第</t>
    </r>
    <r>
      <rPr>
        <sz val="10"/>
        <rFont val="Arial"/>
        <family val="2"/>
      </rPr>
      <t>7.2.9</t>
    </r>
    <r>
      <rPr>
        <sz val="10"/>
        <rFont val="Arial"/>
        <family val="2"/>
      </rPr>
      <t>条计算单桩抗拔承载力设计值</t>
    </r>
  </si>
  <si>
    <r>
      <t>R</t>
    </r>
    <r>
      <rPr>
        <vertAlign val="subscript"/>
        <sz val="10"/>
        <rFont val="Arial"/>
        <family val="2"/>
      </rPr>
      <t>td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Calibri"/>
        <family val="2"/>
      </rPr>
      <t>∑</t>
    </r>
    <r>
      <rPr>
        <sz val="10"/>
        <rFont val="Symbol"/>
        <family val="1"/>
        <charset val="2"/>
      </rPr>
      <t xml:space="preserve"> l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  <r>
      <rPr>
        <sz val="10"/>
        <rFont val="Cambria"/>
        <family val="1"/>
      </rPr>
      <t>/</t>
    </r>
    <r>
      <rPr>
        <sz val="10"/>
        <rFont val="Cambria"/>
        <family val="1"/>
      </rP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+G</t>
    </r>
    <r>
      <rPr>
        <vertAlign val="subscript"/>
        <sz val="10"/>
        <rFont val="Arial"/>
        <family val="2"/>
      </rPr>
      <t>p</t>
    </r>
  </si>
  <si>
    <r>
      <rPr>
        <sz val="10"/>
        <rFont val="Calibri"/>
        <family val="2"/>
      </rP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－桩的抗拔承载力分项系数，一般取2.0</t>
    </r>
  </si>
  <si>
    <r>
      <t xml:space="preserve">桩身周长 </t>
    </r>
    <r>
      <rPr>
        <i/>
        <sz val="10"/>
        <rFont val="Arial"/>
        <family val="2"/>
      </rPr>
      <t>U</t>
    </r>
    <r>
      <rPr>
        <i/>
        <vertAlign val="subscript"/>
        <sz val="10"/>
        <rFont val="Arial"/>
        <family val="2"/>
      </rPr>
      <t>p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</si>
  <si>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t>抗拔系数</t>
  </si>
  <si>
    <t>抗拔极限侧阻标准值 =</t>
  </si>
  <si>
    <t xml:space="preserve"> /    2</t>
  </si>
  <si>
    <r>
      <rPr>
        <sz val="10"/>
        <rFont val="Calibri"/>
        <family val="2"/>
      </rPr>
      <t>λ</t>
    </r>
    <r>
      <rPr>
        <vertAlign val="subscript"/>
        <sz val="10"/>
        <rFont val="Calibri"/>
        <family val="2"/>
      </rPr>
      <t>i</t>
    </r>
  </si>
  <si>
    <r>
      <rPr>
        <sz val="10"/>
        <rFont val="Calibri"/>
        <family val="2"/>
      </rPr>
      <t>λ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</si>
  <si>
    <t>∑</t>
  </si>
  <si>
    <t>单桩极限抗拔承载力标准值 =</t>
  </si>
  <si>
    <t>单桩自重 =</t>
  </si>
  <si>
    <t>设计采用单桩抗拔承载力 =</t>
  </si>
  <si>
    <t>桩底绝对标高 =</t>
  </si>
  <si>
    <t>桩端入土深度 L =</t>
  </si>
  <si>
    <t>单桩抗拔承载力设计值 =</t>
  </si>
  <si>
    <t>2-1</t>
  </si>
  <si>
    <r>
      <rPr>
        <sz val="10"/>
        <rFont val="宋体"/>
        <family val="3"/>
        <charset val="134"/>
      </rPr>
      <t>计算中参考的钻孔编号</t>
    </r>
  </si>
  <si>
    <r>
      <rPr>
        <sz val="10"/>
        <rFont val="宋体"/>
        <family val="3"/>
        <charset val="134"/>
      </rPr>
      <t>孔口绝对标高</t>
    </r>
  </si>
  <si>
    <t>1-1</t>
    <phoneticPr fontId="14" type="noConversion"/>
  </si>
  <si>
    <t>4</t>
    <phoneticPr fontId="14" type="noConversion"/>
  </si>
  <si>
    <t>5-1</t>
    <phoneticPr fontId="14" type="noConversion"/>
  </si>
  <si>
    <t>7</t>
    <phoneticPr fontId="14" type="noConversion"/>
  </si>
  <si>
    <t>8-2</t>
    <phoneticPr fontId="14" type="noConversion"/>
  </si>
  <si>
    <t>本表参考上海瑞虹新城10号地块项目岩土工程勘察报告</t>
    <phoneticPr fontId="14" type="noConversion"/>
  </si>
  <si>
    <t>B20</t>
    <phoneticPr fontId="14" type="noConversion"/>
  </si>
  <si>
    <t>2-31</t>
    <phoneticPr fontId="14" type="noConversion"/>
  </si>
  <si>
    <t>5-2</t>
    <phoneticPr fontId="14" type="noConversion"/>
  </si>
  <si>
    <t>8-11</t>
    <phoneticPr fontId="14" type="noConversion"/>
  </si>
  <si>
    <t>8-12</t>
    <phoneticPr fontId="14" type="noConversion"/>
  </si>
  <si>
    <t>9</t>
    <phoneticPr fontId="14" type="noConversion"/>
  </si>
  <si>
    <t>2-32</t>
  </si>
  <si>
    <t>5-3</t>
  </si>
  <si>
    <t>8-12</t>
  </si>
  <si>
    <t>B6</t>
    <phoneticPr fontId="14" type="noConversion"/>
  </si>
  <si>
    <t>5-4</t>
  </si>
  <si>
    <r>
      <rPr>
        <sz val="10"/>
        <rFont val="宋体"/>
        <family val="3"/>
        <charset val="134"/>
      </rPr>
      <t>设计采用单桩承载力设计值</t>
    </r>
    <r>
      <rPr>
        <sz val="10"/>
        <rFont val="Arial"/>
        <family val="2"/>
      </rPr>
      <t xml:space="preserve"> =</t>
    </r>
    <phoneticPr fontId="14" type="noConversion"/>
  </si>
  <si>
    <t>钢筋截断处承载力计算</t>
    <phoneticPr fontId="14" type="noConversion"/>
  </si>
  <si>
    <r>
      <rPr>
        <sz val="10"/>
        <rFont val="宋体"/>
        <family val="3"/>
        <charset val="134"/>
      </rPr>
      <t>桩顶标高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</si>
  <si>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桩底标高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</si>
  <si>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有效桩长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</si>
  <si>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抗拔极限侧阻标准值</t>
    </r>
    <r>
      <rPr>
        <sz val="10"/>
        <rFont val="Arial"/>
        <family val="2"/>
      </rPr>
      <t xml:space="preserve"> =</t>
    </r>
    <phoneticPr fontId="14" type="noConversion"/>
  </si>
  <si>
    <r>
      <t>3L/4</t>
    </r>
    <r>
      <rPr>
        <sz val="10"/>
        <color indexed="10"/>
        <rFont val="宋体"/>
        <family val="3"/>
        <charset val="134"/>
      </rPr>
      <t>处</t>
    </r>
    <phoneticPr fontId="14" type="noConversion"/>
  </si>
  <si>
    <r>
      <t>3L/4</t>
    </r>
    <r>
      <rPr>
        <sz val="10"/>
        <rFont val="宋体"/>
        <family val="3"/>
        <charset val="134"/>
      </rPr>
      <t>钢筋截断处桩侧阻力设计值</t>
    </r>
    <r>
      <rPr>
        <sz val="10"/>
        <rFont val="Arial"/>
        <family val="2"/>
      </rPr>
      <t xml:space="preserve"> =</t>
    </r>
    <phoneticPr fontId="14" type="noConversion"/>
  </si>
  <si>
    <r>
      <t>3L/4</t>
    </r>
    <r>
      <rPr>
        <sz val="10"/>
        <rFont val="宋体"/>
        <family val="3"/>
        <charset val="134"/>
      </rPr>
      <t>钢筋截断处桩承载力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</si>
  <si>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本表统一使用绝对标高，建筑相对标高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+4.0m</t>
    </r>
    <r>
      <rPr>
        <sz val="10"/>
        <rFont val="宋体"/>
        <family val="3"/>
        <charset val="134"/>
      </rPr>
      <t>，设地下室底板顶结构绝对标高</t>
    </r>
    <r>
      <rPr>
        <sz val="10"/>
        <color indexed="10"/>
        <rFont val="Arial"/>
        <family val="2"/>
      </rPr>
      <t>-14.3m</t>
    </r>
    <r>
      <rPr>
        <sz val="10"/>
        <rFont val="宋体"/>
        <family val="3"/>
        <charset val="134"/>
      </rPr>
      <t>，裙房底板厚度</t>
    </r>
    <r>
      <rPr>
        <sz val="10"/>
        <color indexed="10"/>
        <rFont val="Arial"/>
        <family val="2"/>
      </rPr>
      <t>1m</t>
    </r>
    <phoneticPr fontId="14" type="noConversion"/>
  </si>
  <si>
    <t>G1</t>
  </si>
  <si>
    <t>1</t>
  </si>
  <si>
    <t>2</t>
  </si>
  <si>
    <t>3</t>
  </si>
  <si>
    <t>5-2-1</t>
  </si>
  <si>
    <t>7</t>
  </si>
  <si>
    <t>8-1</t>
  </si>
  <si>
    <t>5-2-2</t>
  </si>
  <si>
    <t>8-2</t>
  </si>
  <si>
    <t>9</t>
  </si>
  <si>
    <t>8-2t</t>
  </si>
  <si>
    <t>4</t>
  </si>
  <si>
    <r>
      <t>本表参考i</t>
    </r>
    <r>
      <rPr>
        <sz val="10"/>
        <rFont val="宋体"/>
        <family val="3"/>
        <charset val="134"/>
      </rPr>
      <t>kea</t>
    </r>
    <r>
      <rPr>
        <sz val="10"/>
        <rFont val="宋体"/>
        <family val="3"/>
        <charset val="134"/>
      </rPr>
      <t>项目岩土工程初步勘察报告</t>
    </r>
    <phoneticPr fontId="14" type="noConversion"/>
  </si>
  <si>
    <t>5-1</t>
  </si>
  <si>
    <t>G1</t>
    <phoneticPr fontId="22" type="noConversion"/>
  </si>
  <si>
    <t>C1</t>
    <phoneticPr fontId="22" type="noConversion"/>
  </si>
  <si>
    <t>G2</t>
    <phoneticPr fontId="22" type="noConversion"/>
  </si>
  <si>
    <t>C2</t>
    <phoneticPr fontId="22" type="noConversion"/>
  </si>
  <si>
    <t>G3</t>
    <phoneticPr fontId="22" type="noConversion"/>
  </si>
  <si>
    <t>C3</t>
    <phoneticPr fontId="22" type="noConversion"/>
  </si>
  <si>
    <t>G4</t>
    <phoneticPr fontId="22" type="noConversion"/>
  </si>
  <si>
    <t>C4</t>
    <phoneticPr fontId="22" type="noConversion"/>
  </si>
  <si>
    <t>土层名称</t>
    <phoneticPr fontId="22" type="noConversion"/>
  </si>
  <si>
    <t>极限侧阻标准值</t>
    <phoneticPr fontId="22" type="noConversion"/>
  </si>
  <si>
    <t>抗拔系数</t>
    <phoneticPr fontId="22" type="noConversion"/>
  </si>
  <si>
    <t>λi</t>
    <phoneticPr fontId="22" type="noConversion"/>
  </si>
  <si>
    <t>5-3</t>
    <phoneticPr fontId="22" type="noConversion"/>
  </si>
  <si>
    <t>5-4</t>
    <phoneticPr fontId="22" type="noConversion"/>
  </si>
  <si>
    <t>7</t>
    <phoneticPr fontId="22" type="noConversion"/>
  </si>
  <si>
    <t>fpi(Kpa)</t>
    <phoneticPr fontId="22" type="noConversion"/>
  </si>
  <si>
    <t>孔口</t>
    <phoneticPr fontId="22" type="noConversion"/>
  </si>
  <si>
    <t>增量(+m)</t>
    <phoneticPr fontId="22" type="noConversion"/>
  </si>
  <si>
    <t>桩底绝对标高初始值(m)</t>
    <phoneticPr fontId="22" type="noConversion"/>
  </si>
  <si>
    <t>桩顶绝对标高(m)</t>
    <phoneticPr fontId="22" type="noConversion"/>
  </si>
  <si>
    <t>步数(整数）</t>
    <phoneticPr fontId="22" type="noConversion"/>
  </si>
  <si>
    <t>土层个数（自动）</t>
    <phoneticPr fontId="22" type="noConversion"/>
  </si>
  <si>
    <t>孔数（自动）</t>
    <phoneticPr fontId="22" type="noConversion"/>
  </si>
  <si>
    <t>取整</t>
    <phoneticPr fontId="14" type="noConversion"/>
  </si>
  <si>
    <t>ARUP</t>
  </si>
  <si>
    <t>项目名称：</t>
    <phoneticPr fontId="22" type="noConversion"/>
  </si>
  <si>
    <t>项目号：</t>
    <phoneticPr fontId="22" type="noConversion"/>
  </si>
  <si>
    <r>
      <rPr>
        <b/>
        <sz val="10"/>
        <rFont val="宋体"/>
        <family val="3"/>
        <charset val="134"/>
      </rPr>
      <t>子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项：</t>
    </r>
    <phoneticPr fontId="22" type="noConversion"/>
  </si>
  <si>
    <t>制作者：</t>
    <phoneticPr fontId="22" type="noConversion"/>
  </si>
  <si>
    <r>
      <rPr>
        <b/>
        <sz val="10"/>
        <rFont val="宋体"/>
        <family val="3"/>
        <charset val="134"/>
      </rPr>
      <t>名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称：</t>
    </r>
    <phoneticPr fontId="22" type="noConversion"/>
  </si>
  <si>
    <r>
      <rPr>
        <b/>
        <sz val="10"/>
        <rFont val="宋体"/>
        <family val="3"/>
        <charset val="134"/>
      </rPr>
      <t>日</t>
    </r>
    <r>
      <rPr>
        <b/>
        <sz val="10"/>
        <rFont val="Arial"/>
        <family val="2"/>
      </rPr>
      <t xml:space="preserve">   </t>
    </r>
    <r>
      <rPr>
        <b/>
        <sz val="10"/>
        <rFont val="宋体"/>
        <family val="3"/>
        <charset val="134"/>
      </rPr>
      <t>期：</t>
    </r>
    <phoneticPr fontId="22" type="noConversion"/>
  </si>
  <si>
    <t>根据《混凝土结构设计规范》GB50010-2010更新</t>
  </si>
  <si>
    <t>1. 工程桩验算</t>
  </si>
  <si>
    <t>单桩抗拔承载力特征值</t>
  </si>
  <si>
    <t>Ns=</t>
  </si>
  <si>
    <t>(kN)</t>
  </si>
  <si>
    <t>桩直径</t>
  </si>
  <si>
    <t>D=</t>
  </si>
  <si>
    <t>(mm)</t>
  </si>
  <si>
    <t>钢筋直径</t>
  </si>
  <si>
    <t>d=</t>
  </si>
  <si>
    <t>钢筋根数</t>
  </si>
  <si>
    <t>n=</t>
  </si>
  <si>
    <t>根</t>
  </si>
  <si>
    <t>水下混凝土强度等级</t>
  </si>
  <si>
    <t>C30</t>
  </si>
  <si>
    <t>混凝土抗压强度设计值</t>
  </si>
  <si>
    <t>fc =</t>
  </si>
  <si>
    <r>
      <t>(N/mm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</t>
    </r>
  </si>
  <si>
    <t>混凝土抗拉强度标准值</t>
  </si>
  <si>
    <t>ftk =</t>
  </si>
  <si>
    <t>钢筋强度等级</t>
  </si>
  <si>
    <t>钢筋强度设计值</t>
  </si>
  <si>
    <t>fy =</t>
  </si>
  <si>
    <t>钢筋强度标准值</t>
  </si>
  <si>
    <t>fyk =</t>
  </si>
  <si>
    <t>钢筋总面积</t>
  </si>
  <si>
    <t>As=</t>
  </si>
  <si>
    <t>(mm2)</t>
  </si>
  <si>
    <t>钢筋净距</t>
  </si>
  <si>
    <t>s=</t>
  </si>
  <si>
    <t>构件受力特征系数</t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</si>
  <si>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Symbol"/>
        <family val="1"/>
        <charset val="2"/>
      </rPr>
      <t>=</t>
    </r>
  </si>
  <si>
    <t>钢筋的相对粘结特性系数</t>
  </si>
  <si>
    <r>
      <t>v</t>
    </r>
    <r>
      <rPr>
        <vertAlign val="subscript"/>
        <sz val="10"/>
        <rFont val="宋体"/>
        <family val="3"/>
        <charset val="134"/>
      </rPr>
      <t>i</t>
    </r>
    <r>
      <rPr>
        <sz val="10"/>
        <rFont val="Times New Roman"/>
        <family val="1"/>
      </rPr>
      <t>=</t>
    </r>
  </si>
  <si>
    <t>钢筋保护层厚度</t>
  </si>
  <si>
    <r>
      <t>c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=</t>
    </r>
  </si>
  <si>
    <t>钢筋弹性模量</t>
  </si>
  <si>
    <t>Es=</t>
  </si>
  <si>
    <t>纵向受拉钢筋配筋率</t>
  </si>
  <si>
    <r>
      <t>r</t>
    </r>
    <r>
      <rPr>
        <vertAlign val="subscript"/>
        <sz val="10"/>
        <rFont val="Times New Roman"/>
        <family val="1"/>
      </rPr>
      <t>te</t>
    </r>
    <r>
      <rPr>
        <sz val="10"/>
        <rFont val="Times New Roman"/>
        <family val="1"/>
      </rPr>
      <t>=</t>
    </r>
  </si>
  <si>
    <t>纵向受拉钢筋应力</t>
  </si>
  <si>
    <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=</t>
    </r>
  </si>
  <si>
    <t>Ns/As =</t>
  </si>
  <si>
    <t>裂缝间纵向受拉钢筋应变不均匀系数</t>
  </si>
  <si>
    <t>y=</t>
  </si>
  <si>
    <r>
      <t>1.1 - (0.65f</t>
    </r>
    <r>
      <rPr>
        <vertAlign val="subscript"/>
        <sz val="10"/>
        <rFont val="Times New Roman"/>
        <family val="1"/>
      </rPr>
      <t>tk</t>
    </r>
    <r>
      <rPr>
        <sz val="10"/>
        <rFont val="Times New Roman"/>
        <family val="1"/>
      </rPr>
      <t>/</t>
    </r>
    <r>
      <rPr>
        <sz val="10"/>
        <rFont val="GreekC"/>
      </rPr>
      <t>r</t>
    </r>
    <r>
      <rPr>
        <vertAlign val="subscript"/>
        <sz val="10"/>
        <rFont val="Times New Roman"/>
        <family val="1"/>
      </rPr>
      <t>te</t>
    </r>
    <r>
      <rPr>
        <sz val="10"/>
        <rFont val="GreekC"/>
      </rP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</si>
  <si>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t>受拉区纵向钢筋的等效直经</t>
  </si>
  <si>
    <r>
      <t>d</t>
    </r>
    <r>
      <rPr>
        <vertAlign val="subscript"/>
        <sz val="10"/>
        <rFont val="宋体"/>
        <family val="3"/>
        <charset val="134"/>
      </rPr>
      <t>eq</t>
    </r>
    <r>
      <rPr>
        <sz val="10"/>
        <rFont val="宋体"/>
        <family val="3"/>
        <charset val="134"/>
      </rPr>
      <t>=</t>
    </r>
  </si>
  <si>
    <r>
      <t>sum(n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*d</t>
    </r>
    <r>
      <rPr>
        <vertAlign val="subscript"/>
        <sz val="10"/>
        <rFont val="Times New Roman"/>
        <family val="1"/>
      </rPr>
      <t>i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)/sum(n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*v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*d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)=</t>
    </r>
  </si>
  <si>
    <t>裂缝宽度</t>
  </si>
  <si>
    <r>
      <t>w</t>
    </r>
    <r>
      <rPr>
        <vertAlign val="subscript"/>
        <sz val="10"/>
        <rFont val="Times New Roman"/>
        <family val="1"/>
      </rPr>
      <t xml:space="preserve">max </t>
    </r>
    <r>
      <rPr>
        <sz val="10"/>
        <rFont val="Times New Roman"/>
        <family val="1"/>
      </rPr>
      <t>=</t>
    </r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</si>
  <si>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Times New Roman"/>
        <family val="1"/>
      </rPr>
      <t>*</t>
    </r>
    <r>
      <rPr>
        <sz val="10"/>
        <rFont val="GreekC"/>
      </rPr>
      <t>y</t>
    </r>
    <r>
      <rPr>
        <sz val="10"/>
        <rFont val="Times New Roman"/>
        <family val="1"/>
      </rPr>
      <t>*</t>
    </r>
    <r>
      <rPr>
        <sz val="10"/>
        <rFont val="GreekC"/>
      </rP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*(1.9*c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+0.08*deq/</t>
    </r>
    <r>
      <rPr>
        <sz val="10"/>
        <rFont val="GreekC"/>
      </rPr>
      <t>r</t>
    </r>
    <r>
      <rPr>
        <vertAlign val="subscript"/>
        <sz val="10"/>
        <rFont val="Times New Roman"/>
        <family val="1"/>
      </rPr>
      <t>te</t>
    </r>
    <r>
      <rPr>
        <sz val="10"/>
        <rFont val="Times New Roman"/>
        <family val="1"/>
      </rPr>
      <t>)/Es=</t>
    </r>
  </si>
  <si>
    <t>裂缝控制宽度</t>
  </si>
  <si>
    <r>
      <t>w</t>
    </r>
    <r>
      <rPr>
        <vertAlign val="subscript"/>
        <sz val="10"/>
        <rFont val="Times New Roman"/>
        <family val="1"/>
      </rPr>
      <t>lim</t>
    </r>
    <r>
      <rPr>
        <sz val="10"/>
        <rFont val="Times New Roman"/>
        <family val="1"/>
      </rPr>
      <t>=</t>
    </r>
  </si>
  <si>
    <t>桩身提供的轴向拉力设计值</t>
  </si>
  <si>
    <t>1.35Ns=</t>
  </si>
  <si>
    <t>U=fy*As=</t>
  </si>
  <si>
    <t>桩身结构抗压承载力设计值</t>
  </si>
  <si>
    <t>按短柱设计</t>
  </si>
  <si>
    <r>
      <t>N=</t>
    </r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 *Ac + 0.9*fy*As=</t>
    </r>
  </si>
  <si>
    <t>(注：稳定系数j 取1；配筋率超过3%，A=A-As’)</t>
  </si>
  <si>
    <r>
      <t xml:space="preserve"> 施工工艺系数</t>
    </r>
    <r>
      <rPr>
        <sz val="10"/>
        <rFont val="Symbol"/>
        <family val="1"/>
        <charset val="2"/>
      </rPr>
      <t>j</t>
    </r>
    <r>
      <rPr>
        <sz val="10"/>
        <rFont val="宋体"/>
        <family val="3"/>
        <charset val="134"/>
      </rPr>
      <t>c=</t>
    </r>
  </si>
  <si>
    <t>注：1.根据《建筑桩基技术规范》JGJ94-2008中5.8.7条进行桩身受拉承载力计算</t>
  </si>
  <si>
    <t xml:space="preserve">       2.假定单桩轴向拔力设计值 N=1.35*Ns，Ns为单桩抗拔承载力特征值</t>
  </si>
  <si>
    <t xml:space="preserve">      3.根据《混凝土结构设计规范》GB50010-2010 8.1.2条进行裂缝验算</t>
  </si>
  <si>
    <t>2. 试桩验算</t>
  </si>
  <si>
    <t>开挖段</t>
    <phoneticPr fontId="22" type="noConversion"/>
  </si>
  <si>
    <t>工程桩桩顶处</t>
  </si>
  <si>
    <t>单桩抗拔承载力极限值</t>
  </si>
  <si>
    <t>混凝土抗压强度标准值</t>
  </si>
  <si>
    <t>fck =</t>
  </si>
  <si>
    <t>HRB400</t>
    <phoneticPr fontId="22" type="noConversion"/>
  </si>
  <si>
    <t>桩身提供的轴向拉力极限值</t>
  </si>
  <si>
    <t>U=fyk*As=</t>
  </si>
  <si>
    <t xml:space="preserve">       2.假定单桩抗拔承载力极限值 N=2*Ns，Ns为单桩抗拔承载力特征值</t>
  </si>
  <si>
    <t xml:space="preserve">       3.钢筋及混凝土强度均取标准值</t>
  </si>
  <si>
    <t>开挖段</t>
    <phoneticPr fontId="22" type="noConversion"/>
  </si>
  <si>
    <t>地面处桩顶</t>
  </si>
  <si>
    <t>试桩地面处最大加载量</t>
  </si>
  <si>
    <t>N=</t>
  </si>
  <si>
    <t>孔号(该行除孔号不要有任何输入）</t>
    <phoneticPr fontId="22" type="noConversion"/>
  </si>
  <si>
    <t>混凝土标号：</t>
    <phoneticPr fontId="22" type="noConversion"/>
  </si>
  <si>
    <t>桩身直径(m)</t>
    <phoneticPr fontId="22" type="noConversion"/>
  </si>
  <si>
    <t>钢筋强度等级：</t>
    <phoneticPr fontId="22" type="noConversion"/>
  </si>
  <si>
    <t>HRB400</t>
    <phoneticPr fontId="22" type="noConversion"/>
  </si>
  <si>
    <r>
      <rPr>
        <sz val="10"/>
        <rFont val="宋体"/>
        <family val="3"/>
        <charset val="134"/>
      </rPr>
      <t>保护层厚度</t>
    </r>
    <r>
      <rPr>
        <sz val="10"/>
        <rFont val="Arial"/>
        <family val="2"/>
      </rPr>
      <t>(mm):</t>
    </r>
    <phoneticPr fontId="22" type="noConversion"/>
  </si>
  <si>
    <t>钢筋净距要求(mm)</t>
    <phoneticPr fontId="22" type="noConversion"/>
  </si>
  <si>
    <t>混凝土等级</t>
  </si>
  <si>
    <r>
      <t xml:space="preserve">fc </t>
    </r>
    <r>
      <rPr>
        <sz val="10"/>
        <rFont val="Arial"/>
        <family val="2"/>
      </rPr>
      <t>：</t>
    </r>
  </si>
  <si>
    <r>
      <t>f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</si>
  <si>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</si>
  <si>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tk</t>
    </r>
    <r>
      <rPr>
        <sz val="10"/>
        <rFont val="Arial"/>
        <family val="2"/>
      </rPr>
      <t xml:space="preserve"> ：</t>
    </r>
  </si>
  <si>
    <r>
      <t>E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：</t>
    </r>
  </si>
  <si>
    <t>C15</t>
  </si>
  <si>
    <t>C20</t>
  </si>
  <si>
    <t>C25</t>
  </si>
  <si>
    <t>C35</t>
  </si>
  <si>
    <t>C40</t>
  </si>
  <si>
    <t>C45</t>
  </si>
  <si>
    <t>C50</t>
  </si>
  <si>
    <t>C55</t>
  </si>
  <si>
    <t>C60</t>
  </si>
  <si>
    <t>C65</t>
  </si>
  <si>
    <t>C70</t>
  </si>
  <si>
    <t>C75</t>
  </si>
  <si>
    <t>C80</t>
  </si>
  <si>
    <t>钢筋等级</t>
  </si>
  <si>
    <r>
      <t>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</si>
  <si>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' ：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</si>
  <si>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</si>
  <si>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>' ：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</si>
  <si>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：</t>
    </r>
  </si>
  <si>
    <t>HPB300</t>
  </si>
  <si>
    <t>HRB335</t>
  </si>
  <si>
    <t>HRB400</t>
  </si>
  <si>
    <t>HRB500</t>
  </si>
  <si>
    <t>VBACodeNeed</t>
    <phoneticPr fontId="22" type="noConversion"/>
  </si>
  <si>
    <t>C30</t>
    <phoneticPr fontId="22" type="noConversion"/>
  </si>
  <si>
    <t>裂缝要求(mm)</t>
    <phoneticPr fontId="22" type="noConversion"/>
  </si>
  <si>
    <t>钢筋直径(始终)(mm):</t>
    <phoneticPr fontId="22" type="noConversion"/>
  </si>
  <si>
    <r>
      <t>混凝土造价（元/m</t>
    </r>
    <r>
      <rPr>
        <vertAlign val="superscript"/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）</t>
    </r>
    <phoneticPr fontId="22" type="noConversion"/>
  </si>
  <si>
    <r>
      <rPr>
        <sz val="10"/>
        <rFont val="宋体"/>
        <family val="3"/>
        <charset val="134"/>
      </rPr>
      <t>箍筋直径</t>
    </r>
    <r>
      <rPr>
        <sz val="10"/>
        <rFont val="Arial"/>
        <family val="2"/>
      </rPr>
      <t>(mm)</t>
    </r>
    <phoneticPr fontId="22" type="noConversion"/>
  </si>
  <si>
    <r>
      <rPr>
        <sz val="10"/>
        <rFont val="宋体"/>
        <family val="3"/>
        <charset val="134"/>
      </rPr>
      <t>加强箍</t>
    </r>
    <r>
      <rPr>
        <sz val="10"/>
        <rFont val="Arial"/>
        <family val="2"/>
      </rPr>
      <t>(mm)(</t>
    </r>
    <r>
      <rPr>
        <sz val="10"/>
        <rFont val="宋体"/>
        <family val="3"/>
        <charset val="134"/>
      </rPr>
      <t>间距2m</t>
    </r>
    <r>
      <rPr>
        <sz val="10"/>
        <rFont val="Arial"/>
        <family val="2"/>
      </rPr>
      <t>)</t>
    </r>
    <phoneticPr fontId="22" type="noConversion"/>
  </si>
  <si>
    <t>加密区高度(m)(默认5d)</t>
    <phoneticPr fontId="22" type="noConversion"/>
  </si>
  <si>
    <t>锚入底板主筋长度(m)</t>
    <phoneticPr fontId="22" type="noConversion"/>
  </si>
  <si>
    <t>主筋截断(0&lt;=  &lt;1)</t>
    <phoneticPr fontId="22" type="noConversion"/>
  </si>
  <si>
    <t>Outside</t>
  </si>
  <si>
    <r>
      <t>桩基成孔单价(元/m</t>
    </r>
    <r>
      <rPr>
        <vertAlign val="superscript"/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)</t>
    </r>
    <phoneticPr fontId="22" type="noConversion"/>
  </si>
  <si>
    <t>该行不要输入任何数据</t>
    <phoneticPr fontId="22" type="noConversion"/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</si>
  <si>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Symbol"/>
        <family val="1"/>
        <charset val="2"/>
      </rPr>
      <t>=</t>
    </r>
    <phoneticPr fontId="22" type="noConversion"/>
  </si>
  <si>
    <t>钢筋造价（元/t）</t>
    <phoneticPr fontId="22" type="noConversion"/>
  </si>
  <si>
    <t>注浆单价（元/t）</t>
    <phoneticPr fontId="22" type="noConversion"/>
  </si>
  <si>
    <t>后注浆水泥最小用量</t>
    <phoneticPr fontId="22" type="noConversion"/>
  </si>
  <si>
    <t>桩径(m)</t>
    <phoneticPr fontId="22" type="noConversion"/>
  </si>
  <si>
    <t>注浆量(水泥重量t）</t>
    <phoneticPr fontId="22" type="noConversion"/>
  </si>
  <si>
    <t>屋面</t>
    <phoneticPr fontId="22" type="noConversion"/>
  </si>
  <si>
    <t>层数</t>
    <phoneticPr fontId="22" type="noConversion"/>
  </si>
  <si>
    <t>首层</t>
    <phoneticPr fontId="22" type="noConversion"/>
  </si>
  <si>
    <t>上部结构(不包括屋面）</t>
    <phoneticPr fontId="22" type="noConversion"/>
  </si>
  <si>
    <t>地下室板（不包括首层）</t>
    <phoneticPr fontId="22" type="noConversion"/>
  </si>
  <si>
    <t>地下室底板</t>
    <phoneticPr fontId="22" type="noConversion"/>
  </si>
  <si>
    <r>
      <t>平米自重（KN/m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</si>
  <si>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r>
      <t>平米面层（KN/m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</si>
  <si>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r>
      <t>平米活载（KN/m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</si>
  <si>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t>最高水位绝对标高：</t>
    <phoneticPr fontId="22" type="noConversion"/>
  </si>
  <si>
    <t>最低水位绝对标高：</t>
    <phoneticPr fontId="22" type="noConversion"/>
  </si>
  <si>
    <t>抗浮安全系数：</t>
    <phoneticPr fontId="22" type="noConversion"/>
  </si>
  <si>
    <t>基桩承载力使用系数：</t>
    <phoneticPr fontId="22" type="noConversion"/>
  </si>
  <si>
    <t>地面绝对标高(m)</t>
    <phoneticPr fontId="22" type="noConversion"/>
  </si>
  <si>
    <t>轴网尺寸X(m)</t>
    <phoneticPr fontId="22" type="noConversion"/>
  </si>
  <si>
    <t>轴网尺寸Y(m)</t>
    <phoneticPr fontId="22" type="noConversion"/>
  </si>
  <si>
    <t>总荷载(自动计算)(估算每轴网桩数)</t>
    <phoneticPr fontId="22" type="noConversion"/>
  </si>
  <si>
    <t>LIVAT_IKEA</t>
    <phoneticPr fontId="0" type="noConversion"/>
  </si>
  <si>
    <t>Will Wang</t>
    <phoneticPr fontId="0" type="noConversion"/>
  </si>
  <si>
    <r>
      <t>W</t>
    </r>
    <r>
      <rPr>
        <sz val="10"/>
        <rFont val="Arial"/>
        <family val="2"/>
      </rPr>
      <t>ill Wang</t>
    </r>
    <phoneticPr fontId="0" type="noConversion"/>
  </si>
  <si>
    <r>
      <t>注浆上海规范/</t>
    </r>
    <r>
      <rPr>
        <sz val="10"/>
        <color rgb="FFFF0000"/>
        <rFont val="宋体"/>
        <family val="3"/>
        <charset val="134"/>
      </rPr>
      <t>干预</t>
    </r>
    <r>
      <rPr>
        <sz val="10"/>
        <rFont val="宋体"/>
        <family val="3"/>
        <charset val="134"/>
      </rPr>
      <t>(t)</t>
    </r>
    <phoneticPr fontId="22" type="noConversion"/>
  </si>
  <si>
    <t>孔口</t>
    <phoneticPr fontId="22" type="noConversion"/>
  </si>
  <si>
    <t>9</t>
    <phoneticPr fontId="22" type="noConversion"/>
  </si>
  <si>
    <t>步数</t>
  </si>
  <si>
    <t>桩底绝对标高</t>
  </si>
  <si>
    <t>MaxCapacity</t>
  </si>
  <si>
    <t>AverageCap</t>
  </si>
  <si>
    <t>MinCapacity</t>
  </si>
  <si>
    <t>MinRebarD</t>
  </si>
  <si>
    <t>MinREbarNO.</t>
  </si>
  <si>
    <t>C1</t>
  </si>
  <si>
    <t>G2</t>
  </si>
  <si>
    <t>C2</t>
  </si>
  <si>
    <t>G3</t>
  </si>
  <si>
    <t>C3</t>
  </si>
  <si>
    <t>G4</t>
  </si>
  <si>
    <t>C4</t>
  </si>
  <si>
    <t>孔口</t>
  </si>
  <si>
    <r>
      <rPr>
        <sz val="10"/>
        <rFont val="宋体"/>
        <family val="3"/>
        <charset val="134"/>
      </rPr>
      <t>本表统一使用绝对标高，假设建筑相对标高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+4.74m</t>
    </r>
    <r>
      <rPr>
        <sz val="10"/>
        <rFont val="宋体"/>
        <family val="3"/>
        <charset val="134"/>
      </rPr>
      <t>，地下室底板顶标高</t>
    </r>
    <r>
      <rPr>
        <sz val="10"/>
        <color indexed="10"/>
        <rFont val="Arial"/>
        <family val="2"/>
      </rPr>
      <t>-17.4m</t>
    </r>
    <r>
      <rPr>
        <sz val="10"/>
        <rFont val="宋体"/>
        <family val="3"/>
        <charset val="134"/>
      </rPr>
      <t>，底板厚度</t>
    </r>
    <r>
      <rPr>
        <sz val="10"/>
        <color indexed="10"/>
        <rFont val="Arial"/>
        <family val="2"/>
      </rPr>
      <t>0.8m</t>
    </r>
    <phoneticPr fontId="14" type="noConversion"/>
  </si>
  <si>
    <t>端阻</t>
    <phoneticPr fontId="22" type="noConversion"/>
  </si>
  <si>
    <t>土类型(尺寸效应)</t>
    <phoneticPr fontId="22" type="noConversion"/>
  </si>
  <si>
    <r>
      <rPr>
        <sz val="10"/>
        <rFont val="宋体"/>
        <family val="3"/>
        <charset val="134"/>
      </rP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=</t>
    </r>
    <phoneticPr fontId="14" type="noConversion"/>
  </si>
  <si>
    <r>
      <rPr>
        <sz val="10"/>
        <rFont val="宋体"/>
        <family val="3"/>
        <charset val="134"/>
      </rPr>
      <t>尺寸效应限值</t>
    </r>
    <r>
      <rPr>
        <sz val="10"/>
        <rFont val="Arial"/>
        <family val="2"/>
      </rPr>
      <t>&gt;</t>
    </r>
    <phoneticPr fontId="14" type="noConversion"/>
  </si>
  <si>
    <t>m</t>
    <phoneticPr fontId="14" type="noConversion"/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</si>
  <si>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DGJ08-11-2010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7.2.9</t>
    </r>
    <r>
      <rPr>
        <sz val="10"/>
        <rFont val="宋体"/>
        <family val="3"/>
        <charset val="134"/>
      </rPr>
      <t>条计算单桩抗拔承载力设计值</t>
    </r>
    <phoneticPr fontId="14" type="noConversion"/>
  </si>
  <si>
    <t>黏性土、粉土</t>
  </si>
  <si>
    <t>沙土、碎石类土</t>
  </si>
  <si>
    <r>
      <rPr>
        <b/>
        <sz val="10"/>
        <color rgb="FFFF0000"/>
        <rFont val="宋体"/>
        <family val="3"/>
        <charset val="134"/>
      </rPr>
      <t>层底</t>
    </r>
    <r>
      <rPr>
        <b/>
        <sz val="10"/>
        <color rgb="FF0070C0"/>
        <rFont val="宋体"/>
        <family val="3"/>
        <charset val="134"/>
      </rPr>
      <t>最高</t>
    </r>
    <r>
      <rPr>
        <sz val="10"/>
        <rFont val="宋体"/>
        <family val="3"/>
        <charset val="134"/>
      </rPr>
      <t>绝对标高</t>
    </r>
    <phoneticPr fontId="22" type="noConversion"/>
  </si>
  <si>
    <r>
      <rPr>
        <b/>
        <sz val="10"/>
        <color rgb="FFFF0000"/>
        <rFont val="宋体"/>
        <family val="3"/>
        <charset val="134"/>
      </rPr>
      <t>层顶</t>
    </r>
    <r>
      <rPr>
        <b/>
        <sz val="10"/>
        <color rgb="FF0070C0"/>
        <rFont val="宋体"/>
        <family val="3"/>
        <charset val="134"/>
      </rPr>
      <t>最底</t>
    </r>
    <r>
      <rPr>
        <sz val="10"/>
        <rFont val="宋体"/>
        <family val="3"/>
        <charset val="134"/>
      </rPr>
      <t>绝对标高</t>
    </r>
    <phoneticPr fontId="22" type="noConversion"/>
  </si>
  <si>
    <t>fsi (KPa)</t>
    <phoneticPr fontId="22" type="noConversion"/>
  </si>
  <si>
    <t>入持力层深</t>
    <phoneticPr fontId="22" type="noConversion"/>
  </si>
  <si>
    <r>
      <rPr>
        <b/>
        <sz val="10"/>
        <color rgb="FFFF0000"/>
        <rFont val="宋体"/>
        <family val="3"/>
        <charset val="134"/>
      </rPr>
      <t>层底</t>
    </r>
    <r>
      <rPr>
        <b/>
        <sz val="10"/>
        <color rgb="FF0070C0"/>
        <rFont val="宋体"/>
        <family val="3"/>
        <charset val="134"/>
      </rPr>
      <t>最底</t>
    </r>
    <r>
      <rPr>
        <sz val="10"/>
        <rFont val="宋体"/>
        <family val="3"/>
        <charset val="134"/>
      </rPr>
      <t>绝对标高</t>
    </r>
    <phoneticPr fontId="22" type="noConversion"/>
  </si>
  <si>
    <t>注浆总价(元)：</t>
  </si>
  <si>
    <t>桩基承载力取整</t>
    <phoneticPr fontId="22" type="noConversion"/>
  </si>
  <si>
    <t>C4</t>
    <phoneticPr fontId="14" type="noConversion"/>
  </si>
  <si>
    <t>覆土荷载（KN/m2）：</t>
    <phoneticPr fontId="22" type="noConversion"/>
  </si>
  <si>
    <r>
      <rPr>
        <sz val="10"/>
        <rFont val="宋体"/>
        <family val="3"/>
        <charset val="134"/>
      </rPr>
      <t>本表统一使用绝对标高，假设建筑相对标高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+4.74m</t>
    </r>
    <r>
      <rPr>
        <sz val="10"/>
        <rFont val="宋体"/>
        <family val="3"/>
        <charset val="134"/>
      </rPr>
      <t>，地下室底板顶标高</t>
    </r>
    <r>
      <rPr>
        <sz val="10"/>
        <color indexed="10"/>
        <rFont val="Arial"/>
        <family val="2"/>
      </rPr>
      <t>-14.36m</t>
    </r>
    <r>
      <rPr>
        <sz val="10"/>
        <rFont val="宋体"/>
        <family val="3"/>
        <charset val="134"/>
      </rPr>
      <t>，底板厚度</t>
    </r>
    <r>
      <rPr>
        <sz val="10"/>
        <color rgb="FFFF0000"/>
        <rFont val="Arial"/>
        <family val="2"/>
      </rPr>
      <t>1.0m</t>
    </r>
    <phoneticPr fontId="14" type="noConversion"/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</si>
  <si>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DBJ08-11-2010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7.2.6</t>
    </r>
    <r>
      <rPr>
        <sz val="10"/>
        <rFont val="宋体"/>
        <family val="3"/>
        <charset val="134"/>
      </rPr>
      <t>条计算单桩竖向承载力设计值</t>
    </r>
  </si>
  <si>
    <r>
      <rPr>
        <sz val="11"/>
        <color indexed="8"/>
        <rFont val="宋体"/>
        <family val="3"/>
        <charset val="134"/>
      </rPr>
      <t>表</t>
    </r>
    <r>
      <rPr>
        <sz val="11"/>
        <color indexed="8"/>
        <rFont val="Times New Roman"/>
        <family val="1"/>
      </rPr>
      <t xml:space="preserve">7.2.4-2 </t>
    </r>
    <r>
      <rPr>
        <sz val="11"/>
        <color indexed="8"/>
        <rFont val="宋体"/>
        <family val="3"/>
        <charset val="134"/>
      </rPr>
      <t>分项系数</t>
    </r>
    <r>
      <rPr>
        <sz val="11"/>
        <color indexed="8"/>
        <rFont val="Times New Roman"/>
        <family val="1"/>
      </rPr>
      <t>γ</t>
    </r>
    <r>
      <rPr>
        <vertAlign val="subscript"/>
        <sz val="10"/>
        <rFont val="Times New Roman"/>
        <family val="1"/>
      </rPr>
      <t>s</t>
    </r>
    <r>
      <rPr>
        <sz val="11"/>
        <color indexed="8"/>
        <rFont val="宋体"/>
        <family val="3"/>
        <charset val="134"/>
      </rPr>
      <t>，</t>
    </r>
    <r>
      <rPr>
        <sz val="11"/>
        <color indexed="8"/>
        <rFont val="Times New Roman"/>
        <family val="1"/>
      </rPr>
      <t>γ</t>
    </r>
    <r>
      <rPr>
        <vertAlign val="subscript"/>
        <sz val="10"/>
        <rFont val="Times New Roman"/>
        <family val="1"/>
      </rPr>
      <t>p</t>
    </r>
    <r>
      <rPr>
        <sz val="11"/>
        <color indexed="8"/>
        <rFont val="宋体"/>
        <family val="3"/>
        <charset val="134"/>
      </rPr>
      <t>表</t>
    </r>
  </si>
  <si>
    <r>
      <t>R</t>
    </r>
    <r>
      <rPr>
        <vertAlign val="subscript"/>
        <sz val="10"/>
        <rFont val="Arial"/>
        <family val="2"/>
      </rPr>
      <t xml:space="preserve">d </t>
    </r>
    <r>
      <rPr>
        <sz val="10"/>
        <rFont val="Arial"/>
        <family val="2"/>
      </rPr>
      <t>= R</t>
    </r>
    <r>
      <rPr>
        <vertAlign val="subscript"/>
        <sz val="10"/>
        <rFont val="Arial"/>
        <family val="2"/>
      </rPr>
      <t xml:space="preserve">sk </t>
    </r>
    <r>
      <rPr>
        <sz val="10"/>
        <rFont val="Arial"/>
        <family val="2"/>
      </rPr>
      <t>/ 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+R</t>
    </r>
    <r>
      <rPr>
        <vertAlign val="subscript"/>
        <sz val="10"/>
        <rFont val="Arial"/>
        <family val="2"/>
      </rPr>
      <t xml:space="preserve">pk </t>
    </r>
    <r>
      <rPr>
        <sz val="10"/>
        <rFont val="Arial"/>
        <family val="2"/>
      </rPr>
      <t>/ γ</t>
    </r>
    <r>
      <rPr>
        <vertAlign val="subscript"/>
        <sz val="10"/>
        <rFont val="Arial"/>
        <family val="2"/>
      </rPr>
      <t>p</t>
    </r>
  </si>
  <si>
    <r>
      <t>ρ</t>
    </r>
    <r>
      <rPr>
        <vertAlign val="subscript"/>
        <sz val="10"/>
        <rFont val="Times New Roman"/>
        <family val="1"/>
      </rPr>
      <t>p</t>
    </r>
    <phoneticPr fontId="14" type="noConversion"/>
  </si>
  <si>
    <r>
      <t>γ</t>
    </r>
    <r>
      <rPr>
        <vertAlign val="subscript"/>
        <sz val="10"/>
        <rFont val="Times New Roman"/>
        <family val="1"/>
      </rPr>
      <t>p</t>
    </r>
  </si>
  <si>
    <r>
      <t>γ</t>
    </r>
    <r>
      <rPr>
        <vertAlign val="subscript"/>
        <sz val="10"/>
        <rFont val="Times New Roman"/>
        <family val="1"/>
      </rPr>
      <t>s</t>
    </r>
  </si>
  <si>
    <r>
      <t>R</t>
    </r>
    <r>
      <rPr>
        <vertAlign val="subscript"/>
        <sz val="10"/>
        <rFont val="Arial"/>
        <family val="2"/>
      </rPr>
      <t>sk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Sf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</t>
    </r>
  </si>
  <si>
    <r>
      <t>R</t>
    </r>
    <r>
      <rPr>
        <vertAlign val="subscript"/>
        <sz val="10"/>
        <rFont val="Arial"/>
        <family val="2"/>
      </rPr>
      <t>pk</t>
    </r>
    <r>
      <rPr>
        <sz val="10"/>
        <rFont val="Arial"/>
        <family val="2"/>
      </rPr>
      <t xml:space="preserve"> = f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A</t>
    </r>
    <r>
      <rPr>
        <vertAlign val="subscript"/>
        <sz val="10"/>
        <rFont val="Arial"/>
        <family val="2"/>
      </rPr>
      <t>p</t>
    </r>
  </si>
  <si>
    <r>
      <t>ρ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= R</t>
    </r>
    <r>
      <rPr>
        <vertAlign val="subscript"/>
        <sz val="10"/>
        <rFont val="Arial"/>
        <family val="2"/>
      </rPr>
      <t xml:space="preserve">pk </t>
    </r>
    <r>
      <rPr>
        <sz val="10"/>
        <rFont val="Arial"/>
        <family val="2"/>
      </rPr>
      <t>/ (R</t>
    </r>
    <r>
      <rPr>
        <vertAlign val="subscript"/>
        <sz val="10"/>
        <rFont val="Arial"/>
        <family val="2"/>
      </rPr>
      <t>pk</t>
    </r>
    <r>
      <rPr>
        <sz val="10"/>
        <rFont val="Arial"/>
        <family val="2"/>
      </rPr>
      <t>+R</t>
    </r>
    <r>
      <rPr>
        <vertAlign val="subscript"/>
        <sz val="10"/>
        <rFont val="Arial"/>
        <family val="2"/>
      </rPr>
      <t>sk</t>
    </r>
    <r>
      <rPr>
        <sz val="10"/>
        <rFont val="Arial"/>
        <family val="2"/>
      </rPr>
      <t>)</t>
    </r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</si>
  <si>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DBJ08-11-2010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7.2.7</t>
    </r>
    <r>
      <rPr>
        <sz val="10"/>
        <rFont val="宋体"/>
        <family val="3"/>
        <charset val="134"/>
      </rPr>
      <t>条计算桩端后注浆单桩竖向承载力设计值</t>
    </r>
    <phoneticPr fontId="14" type="noConversion"/>
  </si>
  <si>
    <r>
      <rPr>
        <i/>
        <sz val="10"/>
        <rFont val="宋体"/>
        <family val="3"/>
        <charset val="134"/>
      </rPr>
      <t>对桩径小于等于</t>
    </r>
    <r>
      <rPr>
        <i/>
        <sz val="10"/>
        <rFont val="Arial"/>
        <family val="2"/>
      </rPr>
      <t>1200mm</t>
    </r>
    <r>
      <rPr>
        <i/>
        <sz val="10"/>
        <rFont val="宋体"/>
        <family val="3"/>
        <charset val="134"/>
      </rPr>
      <t>的桩端后注浆灌注桩，按表</t>
    </r>
    <r>
      <rPr>
        <i/>
        <sz val="10"/>
        <rFont val="Arial"/>
        <family val="2"/>
      </rPr>
      <t>7.2.4-1</t>
    </r>
    <r>
      <rPr>
        <i/>
        <sz val="10"/>
        <rFont val="宋体"/>
        <family val="3"/>
        <charset val="134"/>
      </rPr>
      <t>取极限侧摩阻力和端阻力的上限值，并乘以综合调整系数</t>
    </r>
    <r>
      <rPr>
        <i/>
        <sz val="10"/>
        <rFont val="Arial"/>
        <family val="2"/>
      </rPr>
      <t>1.2</t>
    </r>
  </si>
  <si>
    <r>
      <rPr>
        <sz val="10"/>
        <rFont val="宋体"/>
        <family val="3"/>
        <charset val="134"/>
      </rPr>
      <t>本表参考上海瑞虹新城</t>
    </r>
    <r>
      <rPr>
        <sz val="10"/>
        <rFont val="Arial"/>
        <family val="2"/>
      </rPr>
      <t>10</t>
    </r>
    <r>
      <rPr>
        <sz val="10"/>
        <rFont val="宋体"/>
        <family val="3"/>
        <charset val="134"/>
      </rPr>
      <t>号地块项目岩土工程勘察报告</t>
    </r>
    <phoneticPr fontId="14" type="noConversion"/>
  </si>
  <si>
    <r>
      <rPr>
        <sz val="10"/>
        <rFont val="宋体"/>
        <family val="3"/>
        <charset val="134"/>
      </rPr>
      <t>本表统一使用绝对标高，建筑相对标高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</t>
    </r>
    <r>
      <rPr>
        <sz val="10"/>
        <color indexed="10"/>
        <rFont val="Arial"/>
        <family val="2"/>
      </rPr>
      <t>4.25</t>
    </r>
    <r>
      <rPr>
        <sz val="10"/>
        <color indexed="10"/>
        <rFont val="Arial"/>
        <family val="2"/>
      </rPr>
      <t>m</t>
    </r>
    <r>
      <rPr>
        <sz val="10"/>
        <rFont val="宋体"/>
        <family val="3"/>
        <charset val="134"/>
      </rPr>
      <t>，地下室底板顶结构绝对标高</t>
    </r>
    <r>
      <rPr>
        <sz val="10"/>
        <color indexed="10"/>
        <rFont val="Arial"/>
        <family val="2"/>
      </rPr>
      <t>-1</t>
    </r>
    <r>
      <rPr>
        <sz val="10"/>
        <color indexed="10"/>
        <rFont val="Arial"/>
        <family val="2"/>
      </rPr>
      <t>4.05</t>
    </r>
    <r>
      <rPr>
        <sz val="10"/>
        <color indexed="10"/>
        <rFont val="Arial"/>
        <family val="2"/>
      </rPr>
      <t>m</t>
    </r>
    <r>
      <rPr>
        <sz val="10"/>
        <rFont val="宋体"/>
        <family val="3"/>
        <charset val="134"/>
      </rPr>
      <t>，裙房底板厚度暂定</t>
    </r>
    <r>
      <rPr>
        <sz val="10"/>
        <color indexed="10"/>
        <rFont val="Arial"/>
        <family val="2"/>
      </rPr>
      <t>1.2</t>
    </r>
    <r>
      <rPr>
        <sz val="10"/>
        <color indexed="10"/>
        <rFont val="Arial"/>
        <family val="2"/>
      </rPr>
      <t>m</t>
    </r>
    <phoneticPr fontId="14" type="noConversion"/>
  </si>
  <si>
    <r>
      <rPr>
        <sz val="10"/>
        <rFont val="宋体"/>
        <family val="3"/>
        <charset val="134"/>
      </rP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</si>
  <si>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桩身周长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U</t>
    </r>
    <r>
      <rPr>
        <i/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</si>
  <si>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桩端外径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</si>
  <si>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桩端面积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A</t>
    </r>
    <r>
      <rPr>
        <i/>
        <vertAlign val="subscript"/>
        <sz val="10"/>
        <rFont val="Arial"/>
        <family val="2"/>
      </rPr>
      <t>p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</si>
  <si>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r>
      <t>m</t>
    </r>
    <r>
      <rPr>
        <vertAlign val="superscript"/>
        <sz val="10"/>
        <rFont val="Arial"/>
        <family val="2"/>
      </rPr>
      <t>2</t>
    </r>
  </si>
  <si>
    <r>
      <rPr>
        <sz val="10"/>
        <rFont val="宋体"/>
        <family val="3"/>
        <charset val="134"/>
      </rPr>
      <t>室内地面标高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</si>
  <si>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桩底绝对标高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</si>
  <si>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桩端入土深度</t>
    </r>
    <r>
      <rPr>
        <sz val="10"/>
        <rFont val="Arial"/>
        <family val="2"/>
      </rPr>
      <t xml:space="preserve"> L =</t>
    </r>
  </si>
  <si>
    <r>
      <rPr>
        <b/>
        <sz val="10"/>
        <rFont val="宋体"/>
        <family val="3"/>
        <charset val="134"/>
      </rPr>
      <t>侧阻计算</t>
    </r>
  </si>
  <si>
    <r>
      <rPr>
        <sz val="10"/>
        <rFont val="宋体"/>
        <family val="3"/>
        <charset val="134"/>
      </rPr>
      <t>土层名称</t>
    </r>
  </si>
  <si>
    <r>
      <rPr>
        <sz val="10"/>
        <rFont val="宋体"/>
        <family val="3"/>
        <charset val="134"/>
      </rPr>
      <t>层底绝对标高</t>
    </r>
  </si>
  <si>
    <r>
      <rPr>
        <sz val="10"/>
        <rFont val="宋体"/>
        <family val="3"/>
        <charset val="134"/>
      </rPr>
      <t>土层厚度</t>
    </r>
  </si>
  <si>
    <r>
      <rPr>
        <sz val="10"/>
        <rFont val="宋体"/>
        <family val="3"/>
        <charset val="134"/>
      </rPr>
      <t>桩周土厚度</t>
    </r>
  </si>
  <si>
    <r>
      <rPr>
        <sz val="10"/>
        <rFont val="宋体"/>
        <family val="3"/>
        <charset val="134"/>
      </rPr>
      <t>极限侧阻标准值</t>
    </r>
  </si>
  <si>
    <r>
      <t>R</t>
    </r>
    <r>
      <rPr>
        <vertAlign val="subscript"/>
        <sz val="10"/>
        <rFont val="Arial"/>
        <family val="2"/>
      </rPr>
      <t>sk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宋体"/>
        <family val="3"/>
        <charset val="134"/>
      </rPr>
      <t>∑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 xml:space="preserve">i </t>
    </r>
  </si>
  <si>
    <r>
      <rPr>
        <sz val="10"/>
        <rFont val="宋体"/>
        <family val="3"/>
        <charset val="134"/>
      </rPr>
      <t>桩顶绝对标高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</si>
  <si>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∑</t>
    </r>
  </si>
  <si>
    <r>
      <rPr>
        <sz val="10"/>
        <rFont val="宋体"/>
        <family val="3"/>
        <charset val="134"/>
      </rPr>
      <t>有效桩长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</si>
  <si>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桩侧总极限摩阻力标准值</t>
    </r>
    <r>
      <rPr>
        <sz val="10"/>
        <rFont val="Arial"/>
        <family val="2"/>
      </rPr>
      <t xml:space="preserve"> R</t>
    </r>
    <r>
      <rPr>
        <vertAlign val="subscript"/>
        <sz val="10"/>
        <rFont val="Arial"/>
        <family val="2"/>
      </rPr>
      <t xml:space="preserve">sk </t>
    </r>
    <r>
      <rPr>
        <sz val="10"/>
        <rFont val="Arial"/>
        <family val="2"/>
      </rPr>
      <t>=</t>
    </r>
  </si>
  <si>
    <r>
      <rPr>
        <b/>
        <sz val="10"/>
        <rFont val="宋体"/>
        <family val="3"/>
        <charset val="134"/>
      </rPr>
      <t>端阻计算</t>
    </r>
  </si>
  <si>
    <r>
      <rPr>
        <sz val="10"/>
        <rFont val="宋体"/>
        <family val="3"/>
        <charset val="134"/>
      </rPr>
      <t>桩端持力层</t>
    </r>
  </si>
  <si>
    <r>
      <rPr>
        <sz val="10"/>
        <rFont val="宋体"/>
        <family val="3"/>
        <charset val="134"/>
      </rPr>
      <t>极限端阻标准值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f</t>
    </r>
    <r>
      <rPr>
        <i/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</si>
  <si>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t>kPa</t>
  </si>
  <si>
    <r>
      <rPr>
        <sz val="10"/>
        <rFont val="宋体"/>
        <family val="3"/>
        <charset val="134"/>
      </rPr>
      <t>桩端极限摩阻力标准值</t>
    </r>
    <r>
      <rPr>
        <sz val="10"/>
        <rFont val="Arial"/>
        <family val="2"/>
      </rPr>
      <t>R</t>
    </r>
    <r>
      <rPr>
        <vertAlign val="subscript"/>
        <sz val="10"/>
        <rFont val="Arial"/>
        <family val="2"/>
      </rPr>
      <t>pk</t>
    </r>
    <r>
      <rPr>
        <sz val="10"/>
        <rFont val="Arial"/>
        <family val="2"/>
      </rPr>
      <t xml:space="preserve"> =</t>
    </r>
  </si>
  <si>
    <r>
      <rPr>
        <b/>
        <sz val="10"/>
        <rFont val="宋体"/>
        <family val="3"/>
        <charset val="134"/>
      </rPr>
      <t>单桩承载力计算</t>
    </r>
  </si>
  <si>
    <r>
      <t>ρ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</si>
  <si>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r>
      <t>γ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</si>
  <si>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</si>
  <si>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单桩竖向承载力设计值</t>
    </r>
    <r>
      <rPr>
        <sz val="10"/>
        <rFont val="Arial"/>
        <family val="2"/>
      </rPr>
      <t xml:space="preserve"> =</t>
    </r>
  </si>
  <si>
    <t>/</t>
  </si>
  <si>
    <r>
      <rPr>
        <sz val="10"/>
        <rFont val="宋体"/>
        <family val="3"/>
        <charset val="134"/>
      </rPr>
      <t>表</t>
    </r>
    <r>
      <rPr>
        <sz val="10"/>
        <rFont val="Arial"/>
        <family val="2"/>
      </rPr>
      <t xml:space="preserve">7.1.12 </t>
    </r>
    <r>
      <rPr>
        <sz val="10"/>
        <rFont val="宋体"/>
        <family val="3"/>
        <charset val="134"/>
      </rPr>
      <t>后注浆灌注桩水泥的最小注入量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水泥重量</t>
    </r>
    <r>
      <rPr>
        <sz val="10"/>
        <rFont val="Arial"/>
        <family val="2"/>
      </rPr>
      <t>t)</t>
    </r>
  </si>
  <si>
    <t>d(mm)</t>
  </si>
  <si>
    <r>
      <rPr>
        <sz val="10"/>
        <rFont val="宋体"/>
        <family val="3"/>
        <charset val="134"/>
      </rPr>
      <t>单桩承载力设计值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</si>
  <si>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注浆量</t>
    </r>
  </si>
  <si>
    <t>项目名称：</t>
    <phoneticPr fontId="14" type="noConversion"/>
  </si>
  <si>
    <t>上海瑞虹新城10号地块</t>
  </si>
  <si>
    <t>项目号：</t>
  </si>
  <si>
    <r>
      <rPr>
        <b/>
        <sz val="10"/>
        <rFont val="宋体"/>
        <family val="3"/>
        <charset val="134"/>
      </rPr>
      <t>子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项：</t>
    </r>
    <phoneticPr fontId="14" type="noConversion"/>
  </si>
  <si>
    <t>抗压工程桩和试桩配筋计算</t>
    <phoneticPr fontId="14" type="noConversion"/>
  </si>
  <si>
    <t>制作者：</t>
  </si>
  <si>
    <r>
      <rPr>
        <b/>
        <sz val="10"/>
        <rFont val="宋体"/>
        <family val="3"/>
        <charset val="134"/>
      </rPr>
      <t>名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称：</t>
    </r>
    <phoneticPr fontId="14" type="noConversion"/>
  </si>
  <si>
    <r>
      <rPr>
        <b/>
        <sz val="10"/>
        <rFont val="Symbol"/>
        <family val="1"/>
        <charset val="2"/>
      </rPr>
      <t>f850</t>
    </r>
    <r>
      <rPr>
        <b/>
        <sz val="10"/>
        <rFont val="宋体"/>
        <family val="3"/>
        <charset val="134"/>
      </rPr>
      <t>抗压桩配筋计算</t>
    </r>
    <phoneticPr fontId="14" type="noConversion"/>
  </si>
  <si>
    <t>日   期：</t>
  </si>
  <si>
    <t>单桩抗压承载力特征值</t>
  </si>
  <si>
    <t>钢筋面积</t>
  </si>
  <si>
    <t>c=</t>
  </si>
  <si>
    <t>钢筋配筋率</t>
  </si>
  <si>
    <t>根据钢筋混凝土强度桩身受压承载力设计值</t>
  </si>
  <si>
    <t>Rp=</t>
  </si>
  <si>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 *Ac + 0.9*fy*As=</t>
    </r>
  </si>
  <si>
    <r>
      <t xml:space="preserve"> </t>
    </r>
    <r>
      <rPr>
        <sz val="9"/>
        <rFont val="宋体"/>
        <family val="3"/>
        <charset val="134"/>
      </rPr>
      <t>施工工艺系数</t>
    </r>
    <r>
      <rPr>
        <sz val="12"/>
        <rFont val="Symbol"/>
        <family val="1"/>
        <charset val="2"/>
      </rPr>
      <t>j</t>
    </r>
    <r>
      <rPr>
        <sz val="12"/>
        <rFont val="宋体"/>
        <family val="3"/>
        <charset val="134"/>
      </rPr>
      <t>c=</t>
    </r>
  </si>
  <si>
    <t>（按国标JGJ94-2008建议值中高限）</t>
  </si>
  <si>
    <t>注：1.根据《建筑桩基技术规范》JGJ 94-2008中5.8.2条进行桩身受压承载力计算</t>
  </si>
  <si>
    <t xml:space="preserve">       2.假定单桩满足5.8.2.1的要求</t>
  </si>
  <si>
    <t xml:space="preserve">       3.假定单桩竖向承载力设计值 N=1.35*Ns，Ns为单桩竖向承载力特征值</t>
  </si>
  <si>
    <t>工程桩桩顶处轴力极限值</t>
  </si>
  <si>
    <t>N1=</t>
  </si>
  <si>
    <t>N2=</t>
  </si>
  <si>
    <t>C30</t>
    <phoneticPr fontId="14" type="noConversion"/>
  </si>
  <si>
    <t>HRB400</t>
    <phoneticPr fontId="14" type="noConversion"/>
  </si>
  <si>
    <t>根据钢筋混凝土强度桩身受压承载力极限值</t>
    <phoneticPr fontId="14" type="noConversion"/>
  </si>
  <si>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fck *Ac + 0.9*fyk*As=</t>
    </r>
    <phoneticPr fontId="14" type="noConversion"/>
  </si>
  <si>
    <t>注：1.根据《建筑桩基技术规范》JGJ94-2008中5.8.2条进行桩身受压承载力计算</t>
  </si>
  <si>
    <t>试桩在桩顶标高处的轴力</t>
  </si>
  <si>
    <t>注浆承载力调整系数</t>
    <phoneticPr fontId="22" type="noConversion"/>
  </si>
  <si>
    <r>
      <rPr>
        <sz val="10"/>
        <rFont val="宋体"/>
        <family val="3"/>
        <charset val="134"/>
      </rPr>
      <t>乘以后注浆综合调整系数</t>
    </r>
    <r>
      <rPr>
        <sz val="10"/>
        <rFont val="Arial"/>
        <family val="2"/>
      </rPr>
      <t>=</t>
    </r>
    <phoneticPr fontId="14" type="noConversion"/>
  </si>
  <si>
    <t>抗压承载力（KN）</t>
  </si>
  <si>
    <t>8-1</t>
    <phoneticPr fontId="14" type="noConversion"/>
  </si>
  <si>
    <t>桩径</t>
    <phoneticPr fontId="14" type="noConversion"/>
  </si>
  <si>
    <t>ConcreteCost</t>
  </si>
  <si>
    <t>ReinForcementPressCost</t>
  </si>
  <si>
    <t>DrivingCost</t>
  </si>
  <si>
    <t>ValidPileLongth</t>
  </si>
  <si>
    <t>CostPerCapacity</t>
  </si>
  <si>
    <t>配筋率</t>
  </si>
  <si>
    <t>上部结构单位轴网桩数</t>
  </si>
  <si>
    <t>纯地下室单位轴网桩数</t>
  </si>
  <si>
    <t>7</t>
    <phoneticPr fontId="14" type="noConversion"/>
  </si>
  <si>
    <t>C4</t>
    <phoneticPr fontId="14" type="noConversion"/>
  </si>
  <si>
    <t>8-1</t>
    <phoneticPr fontId="14" type="noConversion"/>
  </si>
  <si>
    <t>持力层</t>
    <phoneticPr fontId="14" type="noConversion"/>
  </si>
  <si>
    <t>桩入土深度_x000D_
(m)(正值)</t>
    <phoneticPr fontId="14" type="noConversion"/>
  </si>
  <si>
    <t>深径比</t>
    <phoneticPr fontId="14" type="noConversion"/>
  </si>
  <si>
    <t>有效桩长_x000D_
(m)</t>
    <phoneticPr fontId="14" type="noConversion"/>
  </si>
  <si>
    <t>抗压承载力_x000D_
(KN)</t>
    <phoneticPr fontId="14" type="noConversion"/>
  </si>
  <si>
    <t>纵筋配筋率</t>
    <phoneticPr fontId="14" type="noConversion"/>
  </si>
  <si>
    <t>抗压单桩造价_x000D_
(万元)</t>
    <phoneticPr fontId="14" type="noConversion"/>
  </si>
  <si>
    <t>抗压承载力单价_x000D_
(元)</t>
    <phoneticPr fontId="14" type="noConversion"/>
  </si>
  <si>
    <t>抗压上部结构_x000D_
单位轴网桩数</t>
    <phoneticPr fontId="14" type="noConversion"/>
  </si>
  <si>
    <t>抗压纯地下室_x000D_
单位轴网桩数</t>
    <phoneticPr fontId="14" type="noConversion"/>
  </si>
  <si>
    <t>8-1</t>
    <phoneticPr fontId="14" type="noConversion"/>
  </si>
  <si>
    <t>8-1/8-2/8-2t</t>
    <phoneticPr fontId="14" type="noConversion"/>
  </si>
  <si>
    <t>8-1/8-2/9</t>
    <phoneticPr fontId="14" type="noConversion"/>
  </si>
  <si>
    <t>桩径</t>
    <phoneticPr fontId="14" type="noConversion"/>
  </si>
  <si>
    <t>持力层</t>
    <phoneticPr fontId="14" type="noConversion"/>
  </si>
  <si>
    <t>桩入土深度_x000D_
(m)</t>
    <phoneticPr fontId="14" type="noConversion"/>
  </si>
  <si>
    <t>深径比</t>
    <phoneticPr fontId="14" type="noConversion"/>
  </si>
  <si>
    <t>有效桩长_x000D_
(m)</t>
    <phoneticPr fontId="14" type="noConversion"/>
  </si>
  <si>
    <t>抗拔承载力_x000D_
(KN)</t>
    <phoneticPr fontId="14" type="noConversion"/>
  </si>
  <si>
    <t>纵筋配筋率</t>
    <phoneticPr fontId="14" type="noConversion"/>
  </si>
  <si>
    <t>抗拔单桩造价_x000D_
(万元)</t>
    <phoneticPr fontId="14" type="noConversion"/>
  </si>
  <si>
    <t>抗拔承载力单价_x000D_
(元)</t>
    <phoneticPr fontId="14" type="noConversion"/>
  </si>
  <si>
    <t>抗拔上部结构_x000D_
单位轴网桩数</t>
    <phoneticPr fontId="14" type="noConversion"/>
  </si>
  <si>
    <t>抗拔纯地下室_x000D_
单位轴网桩数</t>
    <phoneticPr fontId="14" type="noConversion"/>
  </si>
  <si>
    <t>C30</t>
    <phoneticPr fontId="22" type="noConversion"/>
  </si>
  <si>
    <t>HRB400</t>
    <phoneticPr fontId="22" type="noConversion"/>
  </si>
  <si>
    <t>C30</t>
    <phoneticPr fontId="14" type="noConversion"/>
  </si>
  <si>
    <t>HRB400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</si>
</sst>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dd/mm/yy;@"/>
    <numFmt numFmtId="177" formatCode="dd/mm/yyyy;@"/>
    <numFmt numFmtId="178" formatCode="0.0_ "/>
    <numFmt numFmtId="179" formatCode="0.00_ "/>
    <numFmt numFmtId="180" formatCode="0.0"/>
    <numFmt numFmtId="181" formatCode="0.00_);[Red]\(0.00\)"/>
    <numFmt numFmtId="182" formatCode="0_ "/>
    <numFmt numFmtId="183" formatCode="0_);[Red]\(0\)"/>
    <numFmt numFmtId="184" formatCode="0.000"/>
    <numFmt numFmtId="185" formatCode="0.0000"/>
    <numFmt numFmtId="186" formatCode="0.000_);[Red]\(0.000\)"/>
    <numFmt numFmtId="187" formatCode="0.0_);[Red]\(0.0\)"/>
  </numFmts>
  <fonts count="62" x14ac:knownFonts="1"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1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name val="Symbol"/>
      <family val="1"/>
      <charset val="2"/>
    </font>
    <font>
      <sz val="10"/>
      <name val="Calibri"/>
      <family val="2"/>
    </font>
    <font>
      <vertAlign val="subscript"/>
      <sz val="10"/>
      <name val="Arial"/>
      <family val="2"/>
    </font>
    <font>
      <vertAlign val="subscript"/>
      <sz val="10"/>
      <name val="Calibri"/>
      <family val="2"/>
    </font>
    <font>
      <sz val="10"/>
      <name val="Cambria"/>
      <family val="1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10"/>
      <name val="Arial"/>
      <family val="2"/>
    </font>
    <font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4"/>
      <name val="Arial"/>
      <family val="2"/>
    </font>
    <font>
      <sz val="10"/>
      <name val="Times New Roman"/>
      <family val="1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rgb="FFFF0000"/>
      <name val="Times New Roman"/>
      <family val="1"/>
    </font>
    <font>
      <vertAlign val="superscript"/>
      <sz val="10"/>
      <name val="Times New Roman"/>
      <family val="1"/>
    </font>
    <font>
      <sz val="10"/>
      <color indexed="39"/>
      <name val="Times New Roman"/>
      <family val="1"/>
    </font>
    <font>
      <sz val="10"/>
      <color rgb="FF0070C0"/>
      <name val="Times New Roman"/>
      <family val="1"/>
    </font>
    <font>
      <vertAlign val="subscript"/>
      <sz val="10"/>
      <name val="Times New Roman"/>
      <family val="1"/>
    </font>
    <font>
      <vertAlign val="subscript"/>
      <sz val="10"/>
      <name val="宋体"/>
      <family val="3"/>
      <charset val="134"/>
    </font>
    <font>
      <sz val="10"/>
      <color indexed="10"/>
      <name val="Times New Roman"/>
      <family val="1"/>
    </font>
    <font>
      <sz val="10"/>
      <name val="GreekC"/>
    </font>
    <font>
      <b/>
      <sz val="10"/>
      <name val="Times New Roman"/>
      <family val="1"/>
    </font>
    <font>
      <i/>
      <sz val="10"/>
      <name val="Times New Roman"/>
      <family val="1"/>
    </font>
    <font>
      <sz val="12"/>
      <color theme="1"/>
      <name val="宋体"/>
      <family val="3"/>
      <charset val="134"/>
      <scheme val="minor"/>
    </font>
    <font>
      <vertAlign val="superscript"/>
      <sz val="10"/>
      <name val="宋体"/>
      <family val="3"/>
      <charset val="134"/>
    </font>
    <font>
      <sz val="10"/>
      <color theme="1"/>
      <name val="Arial"/>
      <family val="2"/>
    </font>
    <font>
      <sz val="10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rgb="FF00B0F0"/>
      <name val="Arial"/>
      <family val="2"/>
    </font>
    <font>
      <b/>
      <sz val="9"/>
      <color indexed="1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0070C0"/>
      <name val="宋体"/>
      <family val="3"/>
      <charset val="134"/>
    </font>
    <font>
      <sz val="10"/>
      <color rgb="FF800080"/>
      <name val="宋体"/>
      <family val="3"/>
      <charset val="134"/>
    </font>
    <font>
      <sz val="10"/>
      <color rgb="FF0000FF"/>
      <name val="Arial"/>
      <family val="2"/>
    </font>
    <font>
      <sz val="11"/>
      <color theme="1"/>
      <name val="Times New Roman"/>
      <family val="1"/>
    </font>
    <font>
      <sz val="11"/>
      <color indexed="8"/>
      <name val="宋体"/>
      <family val="3"/>
      <charset val="134"/>
    </font>
    <font>
      <sz val="11"/>
      <color indexed="8"/>
      <name val="Times New Roman"/>
      <family val="1"/>
    </font>
    <font>
      <sz val="11"/>
      <color theme="3"/>
      <name val="Times New Roman"/>
      <family val="1"/>
    </font>
    <font>
      <i/>
      <sz val="10"/>
      <name val="宋体"/>
      <family val="3"/>
      <charset val="134"/>
    </font>
    <font>
      <vertAlign val="superscript"/>
      <sz val="10"/>
      <name val="Arial"/>
      <family val="2"/>
    </font>
    <font>
      <b/>
      <sz val="10"/>
      <name val="Symbol"/>
      <family val="1"/>
      <charset val="2"/>
    </font>
    <font>
      <sz val="12"/>
      <name val="Symbol"/>
      <family val="1"/>
      <charset val="2"/>
    </font>
    <font>
      <b/>
      <sz val="10"/>
      <color rgb="FF0000FF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D5AF8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27" fillId="0" borderId="0"/>
  </cellStyleXfs>
  <cellXfs count="462">
    <xf numFmtId="0" fontId="0" fillId="0" borderId="0" xfId="0"/>
    <xf numFmtId="0" fontId="1" fillId="0" borderId="1" xfId="0" applyFont="1" applyBorder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0" xfId="0" applyFont="1" applyFill="1" applyBorder="1" applyAlignment="1">
      <alignment horizontal="left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vertical="top" wrapText="1"/>
    </xf>
    <xf numFmtId="0" fontId="1" fillId="0" borderId="0" xfId="0" applyFont="1" applyBorder="1" applyAlignment="1">
      <alignment horizontal="left" vertical="top"/>
    </xf>
    <xf numFmtId="15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 wrapText="1"/>
    </xf>
    <xf numFmtId="0" fontId="1" fillId="0" borderId="0" xfId="0" applyFont="1" applyAlignment="1">
      <alignment vertical="center"/>
    </xf>
    <xf numFmtId="15" fontId="1" fillId="0" borderId="0" xfId="0" applyNumberFormat="1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vertical="top" wrapText="1"/>
    </xf>
    <xf numFmtId="0" fontId="1" fillId="0" borderId="0" xfId="0" applyFont="1" applyFill="1"/>
    <xf numFmtId="0" fontId="1" fillId="0" borderId="0" xfId="0" applyFont="1" applyFill="1" applyAlignment="1">
      <alignment horizontal="left" vertical="top"/>
    </xf>
    <xf numFmtId="0" fontId="1" fillId="0" borderId="0" xfId="0" applyFont="1" applyFill="1" applyAlignment="1">
      <alignment horizontal="left" vertical="top" wrapText="1"/>
    </xf>
    <xf numFmtId="176" fontId="1" fillId="0" borderId="2" xfId="0" applyNumberFormat="1" applyFont="1" applyBorder="1" applyAlignment="1">
      <alignment horizontal="center" vertical="top"/>
    </xf>
    <xf numFmtId="0" fontId="1" fillId="0" borderId="2" xfId="0" applyFont="1" applyFill="1" applyBorder="1" applyAlignment="1">
      <alignment vertical="top" wrapText="1"/>
    </xf>
    <xf numFmtId="0" fontId="1" fillId="0" borderId="0" xfId="0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/>
    <xf numFmtId="0" fontId="1" fillId="0" borderId="0" xfId="0" applyFont="1" applyFill="1" applyBorder="1" applyAlignment="1">
      <alignment horizontal="center" vertical="top"/>
    </xf>
    <xf numFmtId="0" fontId="4" fillId="0" borderId="0" xfId="0" applyFont="1" applyFill="1"/>
    <xf numFmtId="176" fontId="1" fillId="0" borderId="1" xfId="0" applyNumberFormat="1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right"/>
    </xf>
    <xf numFmtId="0" fontId="4" fillId="0" borderId="0" xfId="0" applyFont="1" applyAlignment="1">
      <alignment vertical="top"/>
    </xf>
    <xf numFmtId="0" fontId="4" fillId="0" borderId="0" xfId="0" applyFont="1" applyAlignment="1"/>
    <xf numFmtId="0" fontId="1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1" fillId="0" borderId="0" xfId="0" applyFont="1" applyBorder="1" applyAlignment="1">
      <alignment vertical="center"/>
    </xf>
    <xf numFmtId="0" fontId="1" fillId="0" borderId="0" xfId="0" applyFont="1" applyAlignment="1"/>
    <xf numFmtId="15" fontId="1" fillId="0" borderId="0" xfId="0" applyNumberFormat="1" applyFont="1" applyBorder="1" applyAlignment="1">
      <alignment vertical="top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center" wrapText="1"/>
    </xf>
    <xf numFmtId="0" fontId="5" fillId="0" borderId="0" xfId="0" applyFont="1" applyAlignment="1"/>
    <xf numFmtId="0" fontId="4" fillId="0" borderId="4" xfId="0" applyFont="1" applyBorder="1" applyAlignment="1"/>
    <xf numFmtId="0" fontId="1" fillId="0" borderId="5" xfId="0" applyFont="1" applyBorder="1" applyAlignment="1"/>
    <xf numFmtId="0" fontId="1" fillId="0" borderId="5" xfId="0" applyFont="1" applyBorder="1" applyAlignment="1">
      <alignment vertical="top"/>
    </xf>
    <xf numFmtId="0" fontId="1" fillId="0" borderId="4" xfId="0" applyFont="1" applyBorder="1" applyAlignment="1"/>
    <xf numFmtId="0" fontId="4" fillId="0" borderId="2" xfId="0" applyFont="1" applyBorder="1" applyAlignment="1"/>
    <xf numFmtId="0" fontId="0" fillId="0" borderId="0" xfId="0" applyAlignment="1"/>
    <xf numFmtId="0" fontId="1" fillId="0" borderId="2" xfId="0" quotePrefix="1" applyFont="1" applyBorder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1" xfId="0" quotePrefix="1" applyFont="1" applyBorder="1" applyAlignment="1">
      <alignment horizontal="left"/>
    </xf>
    <xf numFmtId="177" fontId="1" fillId="0" borderId="1" xfId="0" applyNumberFormat="1" applyFont="1" applyBorder="1" applyAlignment="1">
      <alignment horizontal="left" vertical="top" wrapText="1"/>
    </xf>
    <xf numFmtId="0" fontId="7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7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1" applyFont="1" applyAlignment="1">
      <alignment vertical="center"/>
    </xf>
    <xf numFmtId="0" fontId="0" fillId="0" borderId="0" xfId="1" applyFont="1" applyAlignment="1">
      <alignment horizontal="right" vertical="center"/>
    </xf>
    <xf numFmtId="0" fontId="2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1" applyFont="1" applyFill="1" applyAlignment="1">
      <alignment horizontal="right" vertical="center"/>
    </xf>
    <xf numFmtId="179" fontId="0" fillId="0" borderId="0" xfId="1" applyNumberFormat="1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2" borderId="0" xfId="0" applyFont="1" applyFill="1" applyAlignment="1">
      <alignment horizontal="right" vertical="center"/>
    </xf>
    <xf numFmtId="179" fontId="0" fillId="0" borderId="0" xfId="0" applyNumberFormat="1" applyFont="1" applyAlignment="1">
      <alignment horizontal="right" vertical="center"/>
    </xf>
    <xf numFmtId="0" fontId="0" fillId="0" borderId="0" xfId="0" applyFont="1" applyFill="1" applyAlignment="1">
      <alignment vertical="center"/>
    </xf>
    <xf numFmtId="0" fontId="0" fillId="4" borderId="0" xfId="0" applyFont="1" applyFill="1" applyAlignment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2" borderId="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178" fontId="0" fillId="0" borderId="0" xfId="0" applyNumberFormat="1" applyFont="1" applyBorder="1" applyAlignment="1">
      <alignment vertical="center"/>
    </xf>
    <xf numFmtId="49" fontId="0" fillId="2" borderId="4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178" fontId="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80" fontId="0" fillId="0" borderId="0" xfId="0" applyNumberFormat="1" applyFont="1" applyFill="1" applyAlignment="1">
      <alignment vertical="center"/>
    </xf>
    <xf numFmtId="0" fontId="0" fillId="2" borderId="4" xfId="0" applyNumberFormat="1" applyFill="1" applyBorder="1" applyAlignment="1">
      <alignment horizontal="center" vertical="center"/>
    </xf>
    <xf numFmtId="180" fontId="0" fillId="0" borderId="0" xfId="0" applyNumberFormat="1" applyFont="1" applyAlignment="1">
      <alignment horizontal="right" vertical="center"/>
    </xf>
    <xf numFmtId="0" fontId="21" fillId="0" borderId="0" xfId="0" applyFont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" fontId="0" fillId="0" borderId="0" xfId="0" applyNumberFormat="1" applyFont="1" applyFill="1" applyBorder="1" applyAlignment="1">
      <alignment vertical="center"/>
    </xf>
    <xf numFmtId="1" fontId="0" fillId="5" borderId="0" xfId="0" applyNumberFormat="1" applyFont="1" applyFill="1" applyBorder="1" applyAlignment="1">
      <alignment horizontal="right" vertical="center"/>
    </xf>
    <xf numFmtId="180" fontId="21" fillId="4" borderId="0" xfId="0" applyNumberFormat="1" applyFont="1" applyFill="1" applyAlignment="1">
      <alignment vertical="center"/>
    </xf>
    <xf numFmtId="0" fontId="15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21" fillId="4" borderId="0" xfId="0" applyFont="1" applyFill="1" applyAlignment="1">
      <alignment vertical="center"/>
    </xf>
    <xf numFmtId="179" fontId="0" fillId="2" borderId="0" xfId="0" applyNumberFormat="1" applyFont="1" applyFill="1" applyAlignment="1">
      <alignment horizontal="right" vertical="center"/>
    </xf>
    <xf numFmtId="0" fontId="15" fillId="0" borderId="1" xfId="0" applyFont="1" applyBorder="1" applyAlignment="1">
      <alignment horizontal="left"/>
    </xf>
    <xf numFmtId="179" fontId="21" fillId="2" borderId="0" xfId="0" applyNumberFormat="1" applyFont="1" applyFill="1" applyAlignment="1">
      <alignment horizontal="right" vertical="center"/>
    </xf>
    <xf numFmtId="0" fontId="0" fillId="5" borderId="0" xfId="0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23" fillId="0" borderId="0" xfId="0" applyFont="1"/>
    <xf numFmtId="0" fontId="0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Fill="1" applyBorder="1"/>
    <xf numFmtId="0" fontId="23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0" fillId="5" borderId="0" xfId="0" applyFont="1" applyFill="1" applyAlignment="1">
      <alignment vertical="center"/>
    </xf>
    <xf numFmtId="0" fontId="24" fillId="0" borderId="0" xfId="0" applyFont="1" applyAlignment="1" applyProtection="1">
      <alignment horizontal="left"/>
    </xf>
    <xf numFmtId="0" fontId="25" fillId="0" borderId="0" xfId="0" applyFont="1"/>
    <xf numFmtId="0" fontId="26" fillId="0" borderId="0" xfId="0" applyFont="1" applyAlignment="1">
      <alignment horizontal="left"/>
    </xf>
    <xf numFmtId="0" fontId="26" fillId="0" borderId="0" xfId="0" applyFont="1"/>
    <xf numFmtId="0" fontId="4" fillId="0" borderId="0" xfId="0" applyFont="1"/>
    <xf numFmtId="17" fontId="4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/>
    </xf>
    <xf numFmtId="2" fontId="28" fillId="0" borderId="0" xfId="2" applyNumberFormat="1" applyFont="1"/>
    <xf numFmtId="2" fontId="27" fillId="0" borderId="0" xfId="2" applyNumberFormat="1"/>
    <xf numFmtId="2" fontId="25" fillId="0" borderId="0" xfId="2" applyNumberFormat="1" applyFont="1"/>
    <xf numFmtId="2" fontId="23" fillId="0" borderId="4" xfId="2" applyNumberFormat="1" applyFont="1" applyBorder="1"/>
    <xf numFmtId="0" fontId="23" fillId="0" borderId="3" xfId="2" applyFont="1" applyBorder="1" applyAlignment="1">
      <alignment horizontal="right"/>
    </xf>
    <xf numFmtId="2" fontId="25" fillId="0" borderId="4" xfId="2" applyNumberFormat="1" applyFont="1" applyBorder="1" applyAlignment="1">
      <alignment horizontal="right"/>
    </xf>
    <xf numFmtId="2" fontId="25" fillId="0" borderId="5" xfId="2" applyNumberFormat="1" applyFont="1" applyBorder="1" applyAlignment="1">
      <alignment horizontal="left"/>
    </xf>
    <xf numFmtId="2" fontId="23" fillId="0" borderId="5" xfId="2" applyNumberFormat="1" applyFont="1" applyBorder="1"/>
    <xf numFmtId="2" fontId="23" fillId="0" borderId="3" xfId="2" applyNumberFormat="1" applyFont="1" applyBorder="1"/>
    <xf numFmtId="182" fontId="29" fillId="0" borderId="3" xfId="2" applyNumberFormat="1" applyFont="1" applyFill="1" applyBorder="1" applyAlignment="1">
      <alignment horizontal="center"/>
    </xf>
    <xf numFmtId="183" fontId="25" fillId="0" borderId="4" xfId="2" applyNumberFormat="1" applyFont="1" applyFill="1" applyBorder="1" applyAlignment="1">
      <alignment horizontal="center"/>
    </xf>
    <xf numFmtId="2" fontId="25" fillId="0" borderId="3" xfId="2" applyNumberFormat="1" applyFont="1" applyBorder="1" applyAlignment="1">
      <alignment horizontal="center"/>
    </xf>
    <xf numFmtId="0" fontId="25" fillId="0" borderId="4" xfId="2" applyFont="1" applyBorder="1" applyAlignment="1">
      <alignment horizontal="right"/>
    </xf>
    <xf numFmtId="1" fontId="29" fillId="0" borderId="3" xfId="2" applyNumberFormat="1" applyFont="1" applyFill="1" applyBorder="1" applyAlignment="1">
      <alignment horizontal="center"/>
    </xf>
    <xf numFmtId="0" fontId="25" fillId="0" borderId="4" xfId="2" applyFont="1" applyBorder="1" applyAlignment="1">
      <alignment horizontal="center"/>
    </xf>
    <xf numFmtId="2" fontId="25" fillId="0" borderId="3" xfId="2" applyNumberFormat="1" applyFont="1" applyBorder="1"/>
    <xf numFmtId="2" fontId="25" fillId="0" borderId="4" xfId="2" applyNumberFormat="1" applyFont="1" applyBorder="1" applyAlignment="1">
      <alignment horizontal="center"/>
    </xf>
    <xf numFmtId="0" fontId="29" fillId="0" borderId="3" xfId="2" applyFont="1" applyBorder="1" applyAlignment="1">
      <alignment horizontal="center"/>
    </xf>
    <xf numFmtId="2" fontId="25" fillId="0" borderId="3" xfId="2" applyNumberFormat="1" applyFont="1" applyFill="1" applyBorder="1" applyAlignment="1">
      <alignment horizontal="center"/>
    </xf>
    <xf numFmtId="0" fontId="31" fillId="0" borderId="3" xfId="2" applyFont="1" applyBorder="1" applyAlignment="1">
      <alignment horizontal="right"/>
    </xf>
    <xf numFmtId="1" fontId="25" fillId="0" borderId="3" xfId="2" applyNumberFormat="1" applyFont="1" applyFill="1" applyBorder="1" applyAlignment="1">
      <alignment horizontal="center"/>
    </xf>
    <xf numFmtId="1" fontId="25" fillId="5" borderId="3" xfId="2" applyNumberFormat="1" applyFont="1" applyFill="1" applyBorder="1" applyAlignment="1">
      <alignment horizontal="center"/>
    </xf>
    <xf numFmtId="2" fontId="32" fillId="0" borderId="3" xfId="2" applyNumberFormat="1" applyFont="1" applyBorder="1"/>
    <xf numFmtId="2" fontId="9" fillId="0" borderId="4" xfId="2" applyNumberFormat="1" applyFont="1" applyBorder="1" applyAlignment="1">
      <alignment horizontal="right"/>
    </xf>
    <xf numFmtId="2" fontId="29" fillId="0" borderId="3" xfId="2" applyNumberFormat="1" applyFont="1" applyFill="1" applyBorder="1" applyAlignment="1">
      <alignment horizontal="center"/>
    </xf>
    <xf numFmtId="2" fontId="25" fillId="0" borderId="4" xfId="2" applyNumberFormat="1" applyFont="1" applyBorder="1"/>
    <xf numFmtId="0" fontId="23" fillId="0" borderId="4" xfId="2" applyFont="1" applyBorder="1" applyAlignment="1">
      <alignment horizontal="right"/>
    </xf>
    <xf numFmtId="1" fontId="35" fillId="0" borderId="3" xfId="2" applyNumberFormat="1" applyFont="1" applyFill="1" applyBorder="1" applyAlignment="1">
      <alignment horizontal="center"/>
    </xf>
    <xf numFmtId="0" fontId="36" fillId="0" borderId="4" xfId="2" applyFont="1" applyBorder="1" applyAlignment="1">
      <alignment horizontal="right"/>
    </xf>
    <xf numFmtId="0" fontId="25" fillId="0" borderId="5" xfId="2" applyFont="1" applyBorder="1" applyAlignment="1">
      <alignment horizontal="center"/>
    </xf>
    <xf numFmtId="10" fontId="25" fillId="5" borderId="3" xfId="2" applyNumberFormat="1" applyFont="1" applyFill="1" applyBorder="1" applyAlignment="1">
      <alignment horizontal="center"/>
    </xf>
    <xf numFmtId="2" fontId="25" fillId="0" borderId="5" xfId="2" applyNumberFormat="1" applyFont="1" applyBorder="1"/>
    <xf numFmtId="2" fontId="37" fillId="0" borderId="3" xfId="2" applyNumberFormat="1" applyFont="1" applyBorder="1"/>
    <xf numFmtId="2" fontId="23" fillId="0" borderId="2" xfId="2" applyNumberFormat="1" applyFont="1" applyBorder="1"/>
    <xf numFmtId="0" fontId="23" fillId="0" borderId="2" xfId="2" applyFont="1" applyBorder="1" applyAlignment="1">
      <alignment horizontal="right"/>
    </xf>
    <xf numFmtId="0" fontId="26" fillId="0" borderId="3" xfId="2" applyFont="1" applyBorder="1" applyAlignment="1">
      <alignment horizontal="right"/>
    </xf>
    <xf numFmtId="2" fontId="36" fillId="0" borderId="5" xfId="2" applyNumberFormat="1" applyFont="1" applyBorder="1" applyAlignment="1">
      <alignment horizontal="left"/>
    </xf>
    <xf numFmtId="184" fontId="25" fillId="5" borderId="3" xfId="2" applyNumberFormat="1" applyFont="1" applyFill="1" applyBorder="1" applyAlignment="1">
      <alignment horizontal="center"/>
    </xf>
    <xf numFmtId="2" fontId="23" fillId="0" borderId="10" xfId="2" applyNumberFormat="1" applyFont="1" applyBorder="1"/>
    <xf numFmtId="0" fontId="26" fillId="0" borderId="10" xfId="2" applyFont="1" applyBorder="1" applyAlignment="1">
      <alignment horizontal="right"/>
    </xf>
    <xf numFmtId="184" fontId="29" fillId="0" borderId="2" xfId="2" applyNumberFormat="1" applyFont="1" applyFill="1" applyBorder="1" applyAlignment="1">
      <alignment horizontal="center"/>
    </xf>
    <xf numFmtId="0" fontId="23" fillId="0" borderId="3" xfId="2" applyFont="1" applyBorder="1"/>
    <xf numFmtId="2" fontId="9" fillId="0" borderId="0" xfId="2" applyNumberFormat="1" applyFont="1" applyAlignment="1">
      <alignment horizontal="left"/>
    </xf>
    <xf numFmtId="2" fontId="25" fillId="0" borderId="0" xfId="2" applyNumberFormat="1" applyFont="1" applyAlignment="1">
      <alignment horizontal="left"/>
    </xf>
    <xf numFmtId="2" fontId="23" fillId="0" borderId="0" xfId="2" applyNumberFormat="1" applyFont="1"/>
    <xf numFmtId="185" fontId="37" fillId="0" borderId="0" xfId="2" applyNumberFormat="1" applyFont="1"/>
    <xf numFmtId="0" fontId="23" fillId="0" borderId="0" xfId="2" applyFont="1" applyFill="1" applyBorder="1" applyAlignment="1">
      <alignment horizontal="left"/>
    </xf>
    <xf numFmtId="0" fontId="23" fillId="0" borderId="0" xfId="2" applyFont="1" applyBorder="1"/>
    <xf numFmtId="0" fontId="23" fillId="0" borderId="0" xfId="2" applyFont="1"/>
    <xf numFmtId="183" fontId="25" fillId="0" borderId="0" xfId="2" applyNumberFormat="1" applyFont="1" applyFill="1" applyBorder="1" applyAlignment="1">
      <alignment horizontal="left"/>
    </xf>
    <xf numFmtId="183" fontId="25" fillId="0" borderId="0" xfId="2" applyNumberFormat="1" applyFont="1" applyBorder="1" applyAlignment="1">
      <alignment horizontal="center"/>
    </xf>
    <xf numFmtId="0" fontId="25" fillId="0" borderId="2" xfId="2" applyFont="1" applyBorder="1" applyAlignment="1">
      <alignment horizontal="right"/>
    </xf>
    <xf numFmtId="0" fontId="23" fillId="0" borderId="4" xfId="2" applyFont="1" applyBorder="1"/>
    <xf numFmtId="1" fontId="25" fillId="0" borderId="3" xfId="2" applyNumberFormat="1" applyFont="1" applyBorder="1" applyAlignment="1">
      <alignment horizontal="center"/>
    </xf>
    <xf numFmtId="183" fontId="25" fillId="0" borderId="2" xfId="2" applyNumberFormat="1" applyFont="1" applyFill="1" applyBorder="1" applyAlignment="1">
      <alignment horizontal="center"/>
    </xf>
    <xf numFmtId="2" fontId="32" fillId="0" borderId="0" xfId="2" applyNumberFormat="1" applyFont="1"/>
    <xf numFmtId="2" fontId="23" fillId="0" borderId="0" xfId="2" applyNumberFormat="1" applyFont="1" applyBorder="1"/>
    <xf numFmtId="0" fontId="26" fillId="0" borderId="0" xfId="2" applyFont="1" applyFill="1" applyBorder="1" applyAlignment="1">
      <alignment horizontal="left"/>
    </xf>
    <xf numFmtId="0" fontId="0" fillId="0" borderId="5" xfId="0" applyBorder="1"/>
    <xf numFmtId="1" fontId="25" fillId="5" borderId="2" xfId="2" applyNumberFormat="1" applyFont="1" applyFill="1" applyBorder="1" applyAlignment="1">
      <alignment horizontal="center"/>
    </xf>
    <xf numFmtId="2" fontId="25" fillId="0" borderId="2" xfId="2" applyNumberFormat="1" applyFont="1" applyBorder="1" applyAlignment="1">
      <alignment horizontal="center"/>
    </xf>
    <xf numFmtId="2" fontId="23" fillId="0" borderId="0" xfId="2" applyNumberFormat="1" applyFont="1" applyAlignment="1">
      <alignment horizontal="right"/>
    </xf>
    <xf numFmtId="2" fontId="29" fillId="0" borderId="0" xfId="2" applyNumberFormat="1" applyFont="1" applyAlignment="1">
      <alignment horizontal="center"/>
    </xf>
    <xf numFmtId="0" fontId="38" fillId="0" borderId="0" xfId="0" applyFont="1" applyAlignment="1"/>
    <xf numFmtId="2" fontId="23" fillId="0" borderId="0" xfId="2" applyNumberFormat="1" applyFont="1" applyAlignment="1">
      <alignment horizontal="center"/>
    </xf>
    <xf numFmtId="0" fontId="23" fillId="0" borderId="0" xfId="0" applyFont="1" applyAlignment="1"/>
    <xf numFmtId="2" fontId="27" fillId="0" borderId="0" xfId="2" applyNumberFormat="1" applyFont="1"/>
    <xf numFmtId="182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25" fillId="0" borderId="7" xfId="2" applyNumberFormat="1" applyFont="1" applyBorder="1" applyAlignment="1">
      <alignment horizontal="center"/>
    </xf>
    <xf numFmtId="2" fontId="25" fillId="0" borderId="9" xfId="2" applyNumberFormat="1" applyFont="1" applyBorder="1"/>
    <xf numFmtId="0" fontId="25" fillId="0" borderId="11" xfId="2" applyFont="1" applyBorder="1" applyAlignment="1">
      <alignment horizontal="center"/>
    </xf>
    <xf numFmtId="0" fontId="25" fillId="0" borderId="12" xfId="2" applyFont="1" applyBorder="1" applyAlignment="1">
      <alignment horizontal="center"/>
    </xf>
    <xf numFmtId="0" fontId="25" fillId="0" borderId="3" xfId="2" applyFont="1" applyBorder="1" applyAlignment="1">
      <alignment horizontal="center"/>
    </xf>
    <xf numFmtId="0" fontId="0" fillId="0" borderId="0" xfId="0" applyFill="1"/>
    <xf numFmtId="0" fontId="0" fillId="6" borderId="0" xfId="0" applyFill="1"/>
    <xf numFmtId="0" fontId="23" fillId="6" borderId="0" xfId="0" applyFont="1" applyFill="1"/>
    <xf numFmtId="0" fontId="0" fillId="6" borderId="0" xfId="0" applyFill="1" applyBorder="1"/>
    <xf numFmtId="0" fontId="7" fillId="6" borderId="0" xfId="0" applyFont="1" applyFill="1" applyBorder="1" applyAlignment="1">
      <alignment horizontal="center" vertical="center"/>
    </xf>
    <xf numFmtId="0" fontId="1" fillId="0" borderId="14" xfId="1" applyFont="1" applyBorder="1" applyAlignment="1"/>
    <xf numFmtId="0" fontId="0" fillId="0" borderId="6" xfId="1" applyFont="1" applyBorder="1" applyAlignment="1">
      <alignment horizontal="right"/>
    </xf>
    <xf numFmtId="0" fontId="1" fillId="0" borderId="6" xfId="1" applyFont="1" applyBorder="1" applyAlignment="1">
      <alignment horizontal="right"/>
    </xf>
    <xf numFmtId="1" fontId="1" fillId="0" borderId="15" xfId="1" applyNumberFormat="1" applyFont="1" applyBorder="1" applyAlignment="1">
      <alignment horizontal="right"/>
    </xf>
    <xf numFmtId="0" fontId="39" fillId="0" borderId="0" xfId="1" applyFont="1" applyAlignment="1">
      <alignment vertical="center"/>
    </xf>
    <xf numFmtId="0" fontId="1" fillId="0" borderId="16" xfId="1" applyFont="1" applyBorder="1" applyAlignment="1"/>
    <xf numFmtId="181" fontId="1" fillId="0" borderId="2" xfId="1" applyNumberFormat="1" applyFont="1" applyBorder="1" applyAlignment="1"/>
    <xf numFmtId="1" fontId="1" fillId="0" borderId="17" xfId="1" applyNumberFormat="1" applyFont="1" applyBorder="1" applyAlignment="1"/>
    <xf numFmtId="1" fontId="1" fillId="0" borderId="17" xfId="1" applyNumberFormat="1" applyFont="1" applyFill="1" applyBorder="1" applyAlignment="1"/>
    <xf numFmtId="0" fontId="39" fillId="0" borderId="0" xfId="1" applyFont="1" applyBorder="1" applyAlignment="1">
      <alignment vertical="center"/>
    </xf>
    <xf numFmtId="181" fontId="1" fillId="0" borderId="2" xfId="1" applyNumberFormat="1" applyFont="1" applyFill="1" applyBorder="1" applyAlignment="1"/>
    <xf numFmtId="0" fontId="1" fillId="0" borderId="18" xfId="1" applyFont="1" applyBorder="1" applyAlignment="1"/>
    <xf numFmtId="181" fontId="1" fillId="0" borderId="19" xfId="1" applyNumberFormat="1" applyFont="1" applyBorder="1" applyAlignment="1"/>
    <xf numFmtId="1" fontId="1" fillId="0" borderId="20" xfId="1" applyNumberFormat="1" applyFont="1" applyFill="1" applyBorder="1" applyAlignment="1"/>
    <xf numFmtId="0" fontId="1" fillId="0" borderId="0" xfId="1" applyFont="1" applyAlignment="1"/>
    <xf numFmtId="1" fontId="1" fillId="0" borderId="0" xfId="1" applyNumberFormat="1" applyFont="1" applyAlignment="1"/>
    <xf numFmtId="179" fontId="1" fillId="0" borderId="21" xfId="1" applyNumberFormat="1" applyFont="1" applyBorder="1" applyAlignment="1"/>
    <xf numFmtId="179" fontId="1" fillId="0" borderId="22" xfId="1" applyNumberFormat="1" applyFont="1" applyBorder="1" applyAlignment="1">
      <alignment horizontal="right"/>
    </xf>
    <xf numFmtId="1" fontId="1" fillId="0" borderId="23" xfId="1" applyNumberFormat="1" applyFont="1" applyBorder="1" applyAlignment="1">
      <alignment horizontal="right"/>
    </xf>
    <xf numFmtId="179" fontId="1" fillId="0" borderId="16" xfId="1" applyNumberFormat="1" applyFont="1" applyFill="1" applyBorder="1" applyAlignment="1"/>
    <xf numFmtId="179" fontId="1" fillId="0" borderId="2" xfId="1" applyNumberFormat="1" applyFont="1" applyBorder="1" applyAlignment="1"/>
    <xf numFmtId="179" fontId="1" fillId="0" borderId="18" xfId="1" applyNumberFormat="1" applyFont="1" applyFill="1" applyBorder="1" applyAlignment="1"/>
    <xf numFmtId="179" fontId="1" fillId="0" borderId="19" xfId="1" applyNumberFormat="1" applyFont="1" applyBorder="1" applyAlignment="1"/>
    <xf numFmtId="1" fontId="1" fillId="0" borderId="20" xfId="1" applyNumberFormat="1" applyFont="1" applyBorder="1" applyAlignment="1"/>
    <xf numFmtId="1" fontId="39" fillId="0" borderId="0" xfId="1" applyNumberFormat="1" applyFont="1" applyAlignment="1">
      <alignment vertical="center"/>
    </xf>
    <xf numFmtId="179" fontId="1" fillId="0" borderId="24" xfId="1" applyNumberFormat="1" applyFont="1" applyBorder="1" applyAlignment="1"/>
    <xf numFmtId="1" fontId="1" fillId="0" borderId="25" xfId="1" applyNumberFormat="1" applyFont="1" applyBorder="1" applyAlignment="1"/>
    <xf numFmtId="1" fontId="1" fillId="0" borderId="26" xfId="1" applyNumberFormat="1" applyFont="1" applyBorder="1" applyAlignment="1"/>
    <xf numFmtId="179" fontId="1" fillId="0" borderId="27" xfId="1" applyNumberFormat="1" applyFont="1" applyBorder="1" applyAlignment="1"/>
    <xf numFmtId="179" fontId="1" fillId="0" borderId="0" xfId="1" applyNumberFormat="1" applyFont="1" applyBorder="1" applyAlignment="1"/>
    <xf numFmtId="0" fontId="0" fillId="0" borderId="0" xfId="0" applyNumberFormat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/>
    </xf>
    <xf numFmtId="0" fontId="0" fillId="5" borderId="2" xfId="0" applyFill="1" applyBorder="1"/>
    <xf numFmtId="0" fontId="0" fillId="0" borderId="2" xfId="0" applyBorder="1"/>
    <xf numFmtId="0" fontId="0" fillId="0" borderId="2" xfId="0" applyFill="1" applyBorder="1"/>
    <xf numFmtId="0" fontId="0" fillId="7" borderId="2" xfId="0" applyFill="1" applyBorder="1"/>
    <xf numFmtId="0" fontId="23" fillId="7" borderId="2" xfId="0" applyFont="1" applyFill="1" applyBorder="1" applyAlignment="1">
      <alignment horizontal="right"/>
    </xf>
    <xf numFmtId="12" fontId="0" fillId="5" borderId="2" xfId="0" applyNumberFormat="1" applyFill="1" applyBorder="1"/>
    <xf numFmtId="0" fontId="23" fillId="7" borderId="2" xfId="0" applyFont="1" applyFill="1" applyBorder="1"/>
    <xf numFmtId="0" fontId="23" fillId="5" borderId="2" xfId="0" applyFont="1" applyFill="1" applyBorder="1"/>
    <xf numFmtId="0" fontId="39" fillId="0" borderId="21" xfId="1" applyFont="1" applyBorder="1" applyAlignment="1">
      <alignment vertical="center"/>
    </xf>
    <xf numFmtId="0" fontId="39" fillId="0" borderId="23" xfId="1" applyFont="1" applyBorder="1" applyAlignment="1">
      <alignment vertical="center"/>
    </xf>
    <xf numFmtId="0" fontId="39" fillId="0" borderId="16" xfId="1" applyFont="1" applyBorder="1" applyAlignment="1">
      <alignment vertical="center"/>
    </xf>
    <xf numFmtId="0" fontId="39" fillId="0" borderId="17" xfId="1" applyFont="1" applyBorder="1" applyAlignment="1">
      <alignment vertical="center"/>
    </xf>
    <xf numFmtId="0" fontId="39" fillId="0" borderId="18" xfId="1" applyFont="1" applyBorder="1" applyAlignment="1">
      <alignment vertical="center"/>
    </xf>
    <xf numFmtId="0" fontId="39" fillId="0" borderId="20" xfId="1" applyFont="1" applyBorder="1" applyAlignment="1">
      <alignment vertical="center"/>
    </xf>
    <xf numFmtId="0" fontId="0" fillId="9" borderId="2" xfId="0" applyFill="1" applyBorder="1"/>
    <xf numFmtId="0" fontId="0" fillId="0" borderId="0" xfId="0" applyBorder="1"/>
    <xf numFmtId="0" fontId="15" fillId="8" borderId="28" xfId="0" applyFont="1" applyFill="1" applyBorder="1" applyAlignment="1"/>
    <xf numFmtId="0" fontId="15" fillId="8" borderId="29" xfId="0" applyFont="1" applyFill="1" applyBorder="1" applyAlignment="1"/>
    <xf numFmtId="0" fontId="0" fillId="6" borderId="2" xfId="0" applyFill="1" applyBorder="1"/>
    <xf numFmtId="0" fontId="0" fillId="5" borderId="21" xfId="0" applyFill="1" applyBorder="1" applyAlignment="1">
      <alignment horizontal="center"/>
    </xf>
    <xf numFmtId="0" fontId="15" fillId="0" borderId="22" xfId="0" applyFont="1" applyBorder="1"/>
    <xf numFmtId="0" fontId="15" fillId="0" borderId="16" xfId="0" applyFont="1" applyBorder="1"/>
    <xf numFmtId="0" fontId="0" fillId="7" borderId="17" xfId="0" applyFill="1" applyBorder="1"/>
    <xf numFmtId="0" fontId="0" fillId="5" borderId="17" xfId="0" applyFill="1" applyBorder="1"/>
    <xf numFmtId="0" fontId="15" fillId="0" borderId="18" xfId="0" applyFont="1" applyBorder="1"/>
    <xf numFmtId="0" fontId="0" fillId="0" borderId="19" xfId="0" applyBorder="1"/>
    <xf numFmtId="0" fontId="0" fillId="7" borderId="19" xfId="0" applyFill="1" applyBorder="1"/>
    <xf numFmtId="0" fontId="0" fillId="0" borderId="32" xfId="0" applyBorder="1"/>
    <xf numFmtId="0" fontId="15" fillId="0" borderId="33" xfId="0" applyFont="1" applyBorder="1"/>
    <xf numFmtId="0" fontId="0" fillId="7" borderId="4" xfId="0" applyFill="1" applyBorder="1"/>
    <xf numFmtId="0" fontId="0" fillId="5" borderId="4" xfId="0" applyFill="1" applyBorder="1"/>
    <xf numFmtId="0" fontId="0" fillId="7" borderId="34" xfId="0" applyFill="1" applyBorder="1"/>
    <xf numFmtId="0" fontId="0" fillId="0" borderId="35" xfId="0" applyBorder="1"/>
    <xf numFmtId="0" fontId="15" fillId="0" borderId="21" xfId="0" applyFont="1" applyBorder="1"/>
    <xf numFmtId="0" fontId="0" fillId="5" borderId="23" xfId="0" applyFill="1" applyBorder="1"/>
    <xf numFmtId="0" fontId="41" fillId="10" borderId="17" xfId="0" applyFont="1" applyFill="1" applyBorder="1"/>
    <xf numFmtId="0" fontId="0" fillId="8" borderId="17" xfId="0" applyFill="1" applyBorder="1"/>
    <xf numFmtId="0" fontId="0" fillId="0" borderId="18" xfId="0" applyBorder="1"/>
    <xf numFmtId="0" fontId="0" fillId="0" borderId="20" xfId="0" applyBorder="1"/>
    <xf numFmtId="0" fontId="0" fillId="0" borderId="2" xfId="0" applyFont="1" applyBorder="1" applyAlignment="1">
      <alignment horizontal="left" vertical="center" wrapText="1"/>
    </xf>
    <xf numFmtId="0" fontId="15" fillId="0" borderId="0" xfId="0" applyFont="1"/>
    <xf numFmtId="0" fontId="0" fillId="0" borderId="2" xfId="0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49" fontId="23" fillId="5" borderId="16" xfId="0" applyNumberFormat="1" applyFont="1" applyFill="1" applyBorder="1"/>
    <xf numFmtId="0" fontId="0" fillId="6" borderId="17" xfId="0" applyFill="1" applyBorder="1"/>
    <xf numFmtId="49" fontId="0" fillId="5" borderId="16" xfId="0" applyNumberFormat="1" applyFill="1" applyBorder="1"/>
    <xf numFmtId="49" fontId="0" fillId="5" borderId="18" xfId="0" applyNumberFormat="1" applyFont="1" applyFill="1" applyBorder="1"/>
    <xf numFmtId="0" fontId="0" fillId="6" borderId="19" xfId="0" applyFill="1" applyBorder="1"/>
    <xf numFmtId="0" fontId="0" fillId="5" borderId="19" xfId="0" applyFill="1" applyBorder="1"/>
    <xf numFmtId="0" fontId="0" fillId="6" borderId="20" xfId="0" applyFill="1" applyBorder="1"/>
    <xf numFmtId="0" fontId="0" fillId="0" borderId="25" xfId="0" applyBorder="1"/>
    <xf numFmtId="0" fontId="0" fillId="0" borderId="26" xfId="0" applyBorder="1"/>
    <xf numFmtId="0" fontId="0" fillId="8" borderId="0" xfId="0" applyFont="1" applyFill="1" applyAlignment="1">
      <alignment vertical="center"/>
    </xf>
    <xf numFmtId="0" fontId="15" fillId="5" borderId="25" xfId="0" applyFont="1" applyFill="1" applyBorder="1"/>
    <xf numFmtId="10" fontId="0" fillId="0" borderId="0" xfId="0" applyNumberFormat="1"/>
    <xf numFmtId="0" fontId="15" fillId="0" borderId="0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 wrapText="1"/>
    </xf>
    <xf numFmtId="0" fontId="0" fillId="8" borderId="0" xfId="0" applyFill="1"/>
    <xf numFmtId="0" fontId="15" fillId="8" borderId="0" xfId="0" applyFont="1" applyFill="1"/>
    <xf numFmtId="14" fontId="0" fillId="0" borderId="0" xfId="0" applyNumberFormat="1"/>
    <xf numFmtId="58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0" fillId="5" borderId="25" xfId="0" applyFill="1" applyBorder="1"/>
    <xf numFmtId="49" fontId="15" fillId="0" borderId="0" xfId="0" applyNumberFormat="1" applyFont="1"/>
    <xf numFmtId="49" fontId="0" fillId="0" borderId="0" xfId="0" applyNumberFormat="1" applyFont="1" applyFill="1" applyBorder="1"/>
    <xf numFmtId="0" fontId="0" fillId="11" borderId="2" xfId="0" applyFill="1" applyBorder="1"/>
    <xf numFmtId="0" fontId="15" fillId="8" borderId="36" xfId="0" applyFont="1" applyFill="1" applyBorder="1" applyAlignment="1"/>
    <xf numFmtId="0" fontId="15" fillId="8" borderId="37" xfId="0" applyFont="1" applyFill="1" applyBorder="1" applyAlignment="1"/>
    <xf numFmtId="0" fontId="23" fillId="0" borderId="21" xfId="0" applyFont="1" applyBorder="1"/>
    <xf numFmtId="0" fontId="0" fillId="5" borderId="22" xfId="0" applyFill="1" applyBorder="1"/>
    <xf numFmtId="0" fontId="15" fillId="8" borderId="38" xfId="0" applyFont="1" applyFill="1" applyBorder="1"/>
    <xf numFmtId="0" fontId="23" fillId="0" borderId="16" xfId="0" applyFont="1" applyBorder="1"/>
    <xf numFmtId="0" fontId="0" fillId="8" borderId="39" xfId="0" applyFill="1" applyBorder="1" applyAlignment="1">
      <alignment horizontal="center" vertical="center"/>
    </xf>
    <xf numFmtId="0" fontId="0" fillId="0" borderId="39" xfId="0" applyBorder="1"/>
    <xf numFmtId="0" fontId="0" fillId="11" borderId="39" xfId="0" applyFill="1" applyBorder="1" applyAlignment="1">
      <alignment horizontal="center"/>
    </xf>
    <xf numFmtId="0" fontId="47" fillId="0" borderId="40" xfId="0" applyFont="1" applyBorder="1"/>
    <xf numFmtId="0" fontId="15" fillId="0" borderId="18" xfId="0" applyFont="1" applyFill="1" applyBorder="1"/>
    <xf numFmtId="0" fontId="0" fillId="0" borderId="41" xfId="0" applyBorder="1"/>
    <xf numFmtId="0" fontId="0" fillId="5" borderId="22" xfId="0" applyFill="1" applyBorder="1" applyAlignment="1">
      <alignment horizontal="right"/>
    </xf>
    <xf numFmtId="0" fontId="0" fillId="0" borderId="23" xfId="0" applyFill="1" applyBorder="1"/>
    <xf numFmtId="0" fontId="0" fillId="0" borderId="17" xfId="0" applyFill="1" applyBorder="1"/>
    <xf numFmtId="0" fontId="0" fillId="0" borderId="16" xfId="0" applyBorder="1"/>
    <xf numFmtId="0" fontId="21" fillId="5" borderId="17" xfId="0" applyFont="1" applyFill="1" applyBorder="1"/>
    <xf numFmtId="0" fontId="0" fillId="0" borderId="17" xfId="0" applyBorder="1"/>
    <xf numFmtId="0" fontId="0" fillId="0" borderId="10" xfId="0" applyFill="1" applyBorder="1"/>
    <xf numFmtId="0" fontId="0" fillId="0" borderId="13" xfId="0" applyBorder="1"/>
    <xf numFmtId="0" fontId="0" fillId="0" borderId="23" xfId="0" applyBorder="1"/>
    <xf numFmtId="0" fontId="0" fillId="6" borderId="17" xfId="0" applyFill="1" applyBorder="1" applyAlignment="1">
      <alignment horizontal="center"/>
    </xf>
    <xf numFmtId="0" fontId="0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42" xfId="0" applyBorder="1"/>
    <xf numFmtId="0" fontId="15" fillId="0" borderId="43" xfId="0" applyFont="1" applyBorder="1"/>
    <xf numFmtId="0" fontId="0" fillId="0" borderId="44" xfId="0" applyBorder="1"/>
    <xf numFmtId="0" fontId="0" fillId="5" borderId="44" xfId="0" applyFill="1" applyBorder="1"/>
    <xf numFmtId="0" fontId="15" fillId="5" borderId="24" xfId="0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186" fontId="0" fillId="0" borderId="0" xfId="0" applyNumberFormat="1" applyFont="1" applyFill="1" applyAlignment="1">
      <alignment vertical="center"/>
    </xf>
    <xf numFmtId="0" fontId="53" fillId="0" borderId="0" xfId="0" applyFont="1" applyFill="1" applyAlignment="1">
      <alignment vertical="center"/>
    </xf>
    <xf numFmtId="186" fontId="53" fillId="0" borderId="0" xfId="0" applyNumberFormat="1" applyFont="1" applyFill="1" applyAlignment="1">
      <alignment vertical="center"/>
    </xf>
    <xf numFmtId="0" fontId="53" fillId="0" borderId="2" xfId="0" applyFont="1" applyFill="1" applyBorder="1" applyAlignment="1">
      <alignment horizontal="center" vertical="center"/>
    </xf>
    <xf numFmtId="186" fontId="53" fillId="0" borderId="2" xfId="0" applyNumberFormat="1" applyFont="1" applyFill="1" applyBorder="1" applyAlignment="1">
      <alignment horizontal="center" vertical="center"/>
    </xf>
    <xf numFmtId="186" fontId="56" fillId="0" borderId="2" xfId="0" applyNumberFormat="1" applyFont="1" applyFill="1" applyBorder="1" applyAlignment="1">
      <alignment horizontal="center" vertical="center"/>
    </xf>
    <xf numFmtId="0" fontId="0" fillId="0" borderId="45" xfId="0" applyFont="1" applyBorder="1" applyAlignment="1">
      <alignment vertical="center"/>
    </xf>
    <xf numFmtId="0" fontId="0" fillId="0" borderId="45" xfId="0" applyFont="1" applyFill="1" applyBorder="1" applyAlignment="1">
      <alignment vertical="center"/>
    </xf>
    <xf numFmtId="49" fontId="0" fillId="2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vertical="center"/>
    </xf>
    <xf numFmtId="0" fontId="0" fillId="4" borderId="0" xfId="0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vertical="center"/>
    </xf>
    <xf numFmtId="186" fontId="0" fillId="0" borderId="0" xfId="0" applyNumberFormat="1" applyFont="1" applyFill="1" applyBorder="1" applyAlignment="1">
      <alignment vertical="center"/>
    </xf>
    <xf numFmtId="186" fontId="0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78" fontId="0" fillId="0" borderId="0" xfId="0" quotePrefix="1" applyNumberFormat="1" applyFont="1" applyAlignment="1">
      <alignment horizontal="center" vertical="center"/>
    </xf>
    <xf numFmtId="0" fontId="0" fillId="0" borderId="0" xfId="0" quotePrefix="1" applyFont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83" fontId="0" fillId="0" borderId="2" xfId="0" applyNumberFormat="1" applyFont="1" applyFill="1" applyBorder="1" applyAlignment="1">
      <alignment horizontal="center" vertical="center"/>
    </xf>
    <xf numFmtId="183" fontId="0" fillId="0" borderId="2" xfId="0" applyNumberFormat="1" applyFont="1" applyBorder="1" applyAlignment="1">
      <alignment horizontal="center" vertical="center"/>
    </xf>
    <xf numFmtId="187" fontId="0" fillId="0" borderId="2" xfId="0" applyNumberFormat="1" applyFont="1" applyFill="1" applyBorder="1" applyAlignment="1">
      <alignment horizontal="center" vertical="center"/>
    </xf>
    <xf numFmtId="180" fontId="0" fillId="0" borderId="2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/>
    </xf>
    <xf numFmtId="0" fontId="18" fillId="0" borderId="0" xfId="0" applyFont="1"/>
    <xf numFmtId="2" fontId="15" fillId="0" borderId="4" xfId="2" applyNumberFormat="1" applyFont="1" applyBorder="1"/>
    <xf numFmtId="0" fontId="15" fillId="0" borderId="3" xfId="2" applyFont="1" applyBorder="1" applyAlignment="1">
      <alignment horizontal="right"/>
    </xf>
    <xf numFmtId="2" fontId="15" fillId="0" borderId="5" xfId="2" applyNumberFormat="1" applyFont="1" applyBorder="1"/>
    <xf numFmtId="2" fontId="15" fillId="0" borderId="3" xfId="2" applyNumberFormat="1" applyFont="1" applyBorder="1"/>
    <xf numFmtId="0" fontId="15" fillId="0" borderId="3" xfId="2" applyFont="1" applyBorder="1"/>
    <xf numFmtId="2" fontId="15" fillId="0" borderId="10" xfId="2" applyNumberFormat="1" applyFont="1" applyBorder="1"/>
    <xf numFmtId="2" fontId="15" fillId="0" borderId="0" xfId="2" applyNumberFormat="1" applyFont="1"/>
    <xf numFmtId="0" fontId="15" fillId="0" borderId="0" xfId="2" applyFont="1" applyFill="1" applyBorder="1" applyAlignment="1">
      <alignment horizontal="left"/>
    </xf>
    <xf numFmtId="0" fontId="15" fillId="0" borderId="0" xfId="2" applyFont="1" applyBorder="1"/>
    <xf numFmtId="0" fontId="15" fillId="0" borderId="0" xfId="2" applyFont="1"/>
    <xf numFmtId="0" fontId="25" fillId="0" borderId="4" xfId="0" applyFont="1" applyBorder="1" applyAlignment="1">
      <alignment horizontal="right"/>
    </xf>
    <xf numFmtId="0" fontId="15" fillId="0" borderId="2" xfId="2" applyFont="1" applyBorder="1"/>
    <xf numFmtId="2" fontId="15" fillId="0" borderId="0" xfId="2" applyNumberFormat="1" applyFont="1" applyBorder="1"/>
    <xf numFmtId="2" fontId="27" fillId="0" borderId="0" xfId="2" applyNumberFormat="1" applyFont="1" applyAlignment="1">
      <alignment horizontal="right"/>
    </xf>
    <xf numFmtId="0" fontId="29" fillId="0" borderId="0" xfId="0" applyFont="1" applyAlignment="1">
      <alignment horizontal="center"/>
    </xf>
    <xf numFmtId="0" fontId="25" fillId="0" borderId="0" xfId="2" applyFont="1"/>
    <xf numFmtId="10" fontId="25" fillId="0" borderId="3" xfId="2" applyNumberFormat="1" applyFont="1" applyBorder="1" applyAlignment="1">
      <alignment horizontal="center"/>
    </xf>
    <xf numFmtId="183" fontId="25" fillId="0" borderId="8" xfId="2" applyNumberFormat="1" applyFont="1" applyFill="1" applyBorder="1" applyAlignment="1">
      <alignment horizontal="center"/>
    </xf>
    <xf numFmtId="2" fontId="32" fillId="0" borderId="10" xfId="2" applyNumberFormat="1" applyFont="1" applyBorder="1"/>
    <xf numFmtId="2" fontId="25" fillId="0" borderId="3" xfId="2" applyNumberFormat="1" applyFont="1" applyBorder="1" applyAlignment="1">
      <alignment horizontal="right"/>
    </xf>
    <xf numFmtId="2" fontId="15" fillId="0" borderId="3" xfId="2" applyNumberFormat="1" applyFont="1" applyBorder="1" applyAlignment="1">
      <alignment horizontal="center"/>
    </xf>
    <xf numFmtId="2" fontId="32" fillId="0" borderId="10" xfId="2" applyNumberFormat="1" applyFont="1" applyBorder="1" applyAlignment="1">
      <alignment horizontal="center"/>
    </xf>
    <xf numFmtId="0" fontId="0" fillId="8" borderId="0" xfId="1" applyFont="1" applyFill="1" applyAlignment="1">
      <alignment horizontal="right" vertical="center"/>
    </xf>
    <xf numFmtId="179" fontId="0" fillId="0" borderId="0" xfId="0" applyNumberFormat="1" applyFont="1" applyAlignment="1">
      <alignment vertical="center"/>
    </xf>
    <xf numFmtId="179" fontId="56" fillId="0" borderId="2" xfId="0" applyNumberFormat="1" applyFont="1" applyFill="1" applyBorder="1" applyAlignment="1">
      <alignment horizontal="center" vertical="center"/>
    </xf>
    <xf numFmtId="179" fontId="53" fillId="0" borderId="2" xfId="0" applyNumberFormat="1" applyFont="1" applyFill="1" applyBorder="1" applyAlignment="1">
      <alignment horizontal="center" vertical="center"/>
    </xf>
    <xf numFmtId="10" fontId="0" fillId="0" borderId="17" xfId="0" applyNumberFormat="1" applyFill="1" applyBorder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4" fillId="3" borderId="0" xfId="0" applyFont="1" applyFill="1" applyAlignment="1">
      <alignment horizontal="left"/>
    </xf>
    <xf numFmtId="0" fontId="4" fillId="3" borderId="0" xfId="0" applyFont="1" applyFill="1" applyBorder="1" applyAlignment="1">
      <alignment horizontal="left"/>
    </xf>
    <xf numFmtId="0" fontId="23" fillId="0" borderId="21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15" fillId="0" borderId="24" xfId="0" applyFont="1" applyBorder="1" applyAlignment="1">
      <alignment horizontal="center" wrapText="1"/>
    </xf>
    <xf numFmtId="0" fontId="15" fillId="0" borderId="25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178" fontId="0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right" vertical="center"/>
    </xf>
    <xf numFmtId="178" fontId="4" fillId="0" borderId="13" xfId="0" applyNumberFormat="1" applyFont="1" applyBorder="1" applyAlignment="1">
      <alignment horizontal="right" vertical="center"/>
    </xf>
    <xf numFmtId="178" fontId="4" fillId="2" borderId="4" xfId="0" applyNumberFormat="1" applyFont="1" applyFill="1" applyBorder="1" applyAlignment="1">
      <alignment horizontal="right" vertical="center"/>
    </xf>
    <xf numFmtId="178" fontId="4" fillId="2" borderId="5" xfId="0" applyNumberFormat="1" applyFont="1" applyFill="1" applyBorder="1" applyAlignment="1">
      <alignment horizontal="right" vertical="center"/>
    </xf>
    <xf numFmtId="49" fontId="0" fillId="2" borderId="2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180" fontId="0" fillId="0" borderId="4" xfId="0" applyNumberFormat="1" applyFont="1" applyFill="1" applyBorder="1" applyAlignment="1">
      <alignment horizontal="center" vertical="center"/>
    </xf>
    <xf numFmtId="180" fontId="0" fillId="0" borderId="5" xfId="0" applyNumberFormat="1" applyFont="1" applyFill="1" applyBorder="1" applyAlignment="1">
      <alignment horizontal="center" vertical="center"/>
    </xf>
    <xf numFmtId="180" fontId="0" fillId="0" borderId="10" xfId="0" applyNumberFormat="1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49" fontId="0" fillId="2" borderId="3" xfId="0" applyNumberFormat="1" applyFont="1" applyFill="1" applyBorder="1" applyAlignment="1">
      <alignment horizontal="center" vertical="center"/>
    </xf>
    <xf numFmtId="180" fontId="0" fillId="0" borderId="3" xfId="0" applyNumberFormat="1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23" fillId="2" borderId="2" xfId="0" applyNumberFormat="1" applyFont="1" applyFill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8" fontId="0" fillId="0" borderId="0" xfId="0" applyNumberFormat="1" applyFont="1" applyBorder="1" applyAlignment="1">
      <alignment horizontal="right" vertical="center"/>
    </xf>
    <xf numFmtId="178" fontId="0" fillId="0" borderId="0" xfId="0" applyNumberFormat="1" applyFont="1" applyAlignment="1">
      <alignment horizontal="right" vertical="center"/>
    </xf>
    <xf numFmtId="178" fontId="0" fillId="0" borderId="0" xfId="0" applyNumberFormat="1" applyFont="1" applyAlignment="1">
      <alignment horizontal="left" vertical="center"/>
    </xf>
    <xf numFmtId="179" fontId="0" fillId="2" borderId="4" xfId="0" applyNumberFormat="1" applyFont="1" applyFill="1" applyBorder="1" applyAlignment="1">
      <alignment horizontal="center" vertical="center"/>
    </xf>
    <xf numFmtId="178" fontId="0" fillId="2" borderId="4" xfId="0" applyNumberFormat="1" applyFont="1" applyFill="1" applyBorder="1" applyAlignment="1">
      <alignment horizontal="center" vertical="center"/>
    </xf>
    <xf numFmtId="179" fontId="0" fillId="2" borderId="3" xfId="0" applyNumberFormat="1" applyFont="1" applyFill="1" applyBorder="1" applyAlignment="1">
      <alignment horizontal="center" vertical="center"/>
    </xf>
    <xf numFmtId="181" fontId="0" fillId="2" borderId="4" xfId="0" applyNumberFormat="1" applyFont="1" applyFill="1" applyBorder="1" applyAlignment="1">
      <alignment horizontal="center" vertical="center"/>
    </xf>
    <xf numFmtId="181" fontId="0" fillId="2" borderId="3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86" fontId="0" fillId="0" borderId="0" xfId="0" applyNumberFormat="1" applyFont="1" applyFill="1" applyAlignment="1">
      <alignment horizontal="right" vertical="center"/>
    </xf>
  </cellXfs>
  <cellStyles count="3">
    <cellStyle name="Normal" xfId="0" builtinId="0"/>
    <cellStyle name="Normal 2" xfId="1"/>
    <cellStyle name="常规_Pile Crack Width_0.6m_zone 5_30Nov" xfId="2"/>
  </cellStyles>
  <dxfs count="3">
    <dxf>
      <font>
        <b/>
        <i/>
        <color rgb="FFFF0000"/>
      </font>
      <fill>
        <patternFill>
          <bgColor theme="6" tint="0.39994506668294322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colors>
    <mruColors>
      <color rgb="FFD60AE6"/>
      <color rgb="FFCC0000"/>
      <color rgb="FF33CCFF"/>
      <color rgb="FF0000FF"/>
      <color rgb="FFED5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b="1"/>
              <a:t>承载力单价对比图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Output!$T$3:$T$13</c:f>
              <c:numCache>
                <c:formatCode>General</c:formatCode>
                <c:ptCount val="11"/>
                <c:pt idx="0">
                  <c:v>30.860000000000007</c:v>
                </c:pt>
                <c:pt idx="1">
                  <c:v>31.360000000000007</c:v>
                </c:pt>
                <c:pt idx="2">
                  <c:v>31.860000000000007</c:v>
                </c:pt>
                <c:pt idx="3">
                  <c:v>32.360000000000007</c:v>
                </c:pt>
                <c:pt idx="4">
                  <c:v>32.860000000000007</c:v>
                </c:pt>
                <c:pt idx="5">
                  <c:v>33.360000000000007</c:v>
                </c:pt>
                <c:pt idx="6">
                  <c:v>33.860000000000007</c:v>
                </c:pt>
                <c:pt idx="7">
                  <c:v>34.360000000000007</c:v>
                </c:pt>
                <c:pt idx="8">
                  <c:v>34.860000000000007</c:v>
                </c:pt>
                <c:pt idx="9">
                  <c:v>35.360000000000007</c:v>
                </c:pt>
                <c:pt idx="10">
                  <c:v>35.860000000000007</c:v>
                </c:pt>
              </c:numCache>
            </c:numRef>
          </c:cat>
          <c:val>
            <c:numRef>
              <c:f>Output!$U$3:$U$13</c:f>
              <c:numCache>
                <c:formatCode>General</c:formatCode>
                <c:ptCount val="11"/>
                <c:pt idx="0">
                  <c:v>6.3980000000000006</c:v>
                </c:pt>
                <c:pt idx="1">
                  <c:v>6.3470000000000004</c:v>
                </c:pt>
                <c:pt idx="2">
                  <c:v>6.33</c:v>
                </c:pt>
                <c:pt idx="3">
                  <c:v>6.3460000000000001</c:v>
                </c:pt>
                <c:pt idx="4">
                  <c:v>6.33</c:v>
                </c:pt>
                <c:pt idx="5">
                  <c:v>6.3140000000000001</c:v>
                </c:pt>
                <c:pt idx="6">
                  <c:v>6.2690000000000001</c:v>
                </c:pt>
                <c:pt idx="7">
                  <c:v>6.2560000000000002</c:v>
                </c:pt>
                <c:pt idx="8">
                  <c:v>6.2430000000000003</c:v>
                </c:pt>
                <c:pt idx="9">
                  <c:v>6.23</c:v>
                </c:pt>
                <c:pt idx="10">
                  <c:v>6.218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61976"/>
        <c:axId val="586463152"/>
      </c:lineChart>
      <c:catAx>
        <c:axId val="586461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有效桩长（</a:t>
                </a:r>
                <a:r>
                  <a:rPr lang="en-US" sz="1200"/>
                  <a:t>m</a:t>
                </a:r>
                <a:r>
                  <a:rPr lang="zh-CN" sz="120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6463152"/>
        <c:crosses val="autoZero"/>
        <c:auto val="1"/>
        <c:lblAlgn val="ctr"/>
        <c:lblOffset val="100"/>
        <c:noMultiLvlLbl val="0"/>
      </c:catAx>
      <c:valAx>
        <c:axId val="58646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承载力单价（元</a:t>
                </a:r>
                <a:r>
                  <a:rPr lang="en-US" sz="1200"/>
                  <a:t>/KN</a:t>
                </a:r>
                <a:r>
                  <a:rPr lang="zh-CN" sz="120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646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承载力单价对比图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抗压承载力单价_x000d_
(元)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PPTOutPut!$E$2:$E$6</c:f>
              <c:numCache>
                <c:formatCode>General</c:formatCode>
                <c:ptCount val="5"/>
                <c:pt idx="0">
                  <c:v>30.4</c:v>
                </c:pt>
                <c:pt idx="1">
                  <c:v>30.4</c:v>
                </c:pt>
                <c:pt idx="2">
                  <c:v>34.9</c:v>
                </c:pt>
                <c:pt idx="3">
                  <c:v>44.9</c:v>
                </c:pt>
                <c:pt idx="4">
                  <c:v>51.400000000000006</c:v>
                </c:pt>
              </c:numCache>
            </c:numRef>
          </c:cat>
          <c:val>
            <c:numRef>
              <c:f>PPTOutPut!$I$2:$I$6</c:f>
              <c:numCache>
                <c:formatCode>General</c:formatCode>
                <c:ptCount val="5"/>
                <c:pt idx="0">
                  <c:v>7.72</c:v>
                </c:pt>
                <c:pt idx="1">
                  <c:v>8.25</c:v>
                </c:pt>
                <c:pt idx="2">
                  <c:v>8.0500000000000007</c:v>
                </c:pt>
                <c:pt idx="3">
                  <c:v>8.66</c:v>
                </c:pt>
                <c:pt idx="4">
                  <c:v>9.2200000000000006</c:v>
                </c:pt>
              </c:numCache>
            </c:numRef>
          </c:val>
        </c:ser>
        <c:ser>
          <c:idx val="1"/>
          <c:order val="1"/>
          <c:tx>
            <c:v>桩径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PPTOutPut!$E$2:$E$6</c:f>
              <c:numCache>
                <c:formatCode>General</c:formatCode>
                <c:ptCount val="5"/>
                <c:pt idx="0">
                  <c:v>30.4</c:v>
                </c:pt>
                <c:pt idx="1">
                  <c:v>30.4</c:v>
                </c:pt>
                <c:pt idx="2">
                  <c:v>34.9</c:v>
                </c:pt>
                <c:pt idx="3">
                  <c:v>44.9</c:v>
                </c:pt>
                <c:pt idx="4">
                  <c:v>51.400000000000006</c:v>
                </c:pt>
              </c:numCache>
            </c:numRef>
          </c:cat>
          <c:val>
            <c:numRef>
              <c:f>PPTOutPut!$A$2:$A$6</c:f>
              <c:numCache>
                <c:formatCode>General</c:formatCode>
                <c:ptCount val="5"/>
                <c:pt idx="0">
                  <c:v>600</c:v>
                </c:pt>
                <c:pt idx="1">
                  <c:v>650</c:v>
                </c:pt>
                <c:pt idx="2">
                  <c:v>650</c:v>
                </c:pt>
                <c:pt idx="3">
                  <c:v>750</c:v>
                </c:pt>
                <c:pt idx="4">
                  <c:v>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506144"/>
        <c:axId val="845507712"/>
      </c:barChart>
      <c:catAx>
        <c:axId val="845506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有效桩长（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45507712"/>
        <c:crosses val="autoZero"/>
        <c:auto val="1"/>
        <c:lblAlgn val="ctr"/>
        <c:lblOffset val="100"/>
        <c:noMultiLvlLbl val="0"/>
      </c:catAx>
      <c:valAx>
        <c:axId val="845507712"/>
        <c:scaling>
          <c:orientation val="minMax"/>
          <c:max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承载力单价（元</a:t>
                </a:r>
                <a:r>
                  <a:rPr lang="en-US" altLang="zh-CN"/>
                  <a:t>/KN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45506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85725</xdr:rowOff>
    </xdr:from>
    <xdr:to>
      <xdr:col>2</xdr:col>
      <xdr:colOff>571500</xdr:colOff>
      <xdr:row>2</xdr:row>
      <xdr:rowOff>76200</xdr:rowOff>
    </xdr:to>
    <xdr:pic>
      <xdr:nvPicPr>
        <xdr:cNvPr id="1765" name="Picture 1" descr="Aru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85725"/>
          <a:ext cx="104775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38101</xdr:colOff>
      <xdr:row>27</xdr:row>
      <xdr:rowOff>95249</xdr:rowOff>
    </xdr:from>
    <xdr:to>
      <xdr:col>7</xdr:col>
      <xdr:colOff>1257301</xdr:colOff>
      <xdr:row>34</xdr:row>
      <xdr:rowOff>133349</xdr:rowOff>
    </xdr:to>
    <xdr:sp macro="" textlink="">
      <xdr:nvSpPr>
        <xdr:cNvPr id="2" name="TextBox 1"/>
        <xdr:cNvSpPr txBox="1"/>
      </xdr:nvSpPr>
      <xdr:spPr>
        <a:xfrm>
          <a:off x="5076826" y="4610099"/>
          <a:ext cx="1828800" cy="1171575"/>
        </a:xfrm>
        <a:prstGeom prst="rect">
          <a:avLst/>
        </a:prstGeom>
        <a:solidFill>
          <a:srgbClr val="33CC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注意：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zh-CN" altLang="en-US" sz="1100" b="1" i="1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土层名称</a:t>
          </a:r>
          <a:r>
            <a:rPr lang="zh-CN" altLang="en-US" sz="1100" b="0" i="1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格式要统一；</a:t>
          </a:r>
          <a:endParaRPr lang="en-US" altLang="zh-CN" sz="1100" b="0" i="1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如果是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text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，要和“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InPutSolidPhisicalP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”中的土层名称格式一致！</a:t>
          </a:r>
          <a:endParaRPr lang="en-US" altLang="zh-CN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27</xdr:row>
      <xdr:rowOff>85723</xdr:rowOff>
    </xdr:from>
    <xdr:to>
      <xdr:col>5</xdr:col>
      <xdr:colOff>533400</xdr:colOff>
      <xdr:row>40</xdr:row>
      <xdr:rowOff>114299</xdr:rowOff>
    </xdr:to>
    <xdr:sp macro="" textlink="">
      <xdr:nvSpPr>
        <xdr:cNvPr id="3" name="TextBox 2"/>
        <xdr:cNvSpPr txBox="1"/>
      </xdr:nvSpPr>
      <xdr:spPr>
        <a:xfrm>
          <a:off x="0" y="4600573"/>
          <a:ext cx="4962525" cy="213360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输入参数总说明：</a:t>
          </a:r>
          <a:endParaRPr lang="en-US" altLang="zh-CN" sz="1100"/>
        </a:p>
        <a:p>
          <a:r>
            <a:rPr lang="zh-CN" altLang="en-US" sz="1100"/>
            <a:t>各参数输入完成后需点击</a:t>
          </a:r>
          <a:r>
            <a:rPr lang="zh-CN" altLang="en-US" sz="1100" b="1" u="sng">
              <a:solidFill>
                <a:srgbClr val="0000FF"/>
              </a:solidFill>
            </a:rPr>
            <a:t>按钮</a:t>
          </a:r>
          <a:r>
            <a:rPr lang="zh-CN" altLang="en-US" sz="1100"/>
            <a:t>才能计算结果；</a:t>
          </a:r>
          <a:endParaRPr lang="en-US" altLang="zh-CN" sz="1100"/>
        </a:p>
        <a:p>
          <a:r>
            <a:rPr lang="zh-CN" altLang="en-US" sz="1100"/>
            <a:t>表格中</a:t>
          </a:r>
          <a:r>
            <a:rPr lang="zh-CN" altLang="en-US" sz="1100" b="1">
              <a:solidFill>
                <a:srgbClr val="FFFF00"/>
              </a:solidFill>
            </a:rPr>
            <a:t>黄色</a:t>
          </a:r>
          <a:r>
            <a:rPr lang="zh-CN" altLang="en-US" sz="1100"/>
            <a:t>和</a:t>
          </a:r>
          <a:r>
            <a:rPr lang="zh-CN" altLang="en-US" sz="1100">
              <a:solidFill>
                <a:srgbClr val="00B0F0"/>
              </a:solidFill>
            </a:rPr>
            <a:t>蓝色</a:t>
          </a:r>
          <a:r>
            <a:rPr lang="en-US" altLang="zh-CN" sz="1100"/>
            <a:t>Cell</a:t>
          </a:r>
          <a:r>
            <a:rPr lang="zh-CN" altLang="en-US" sz="1100"/>
            <a:t>为输入参数；</a:t>
          </a:r>
          <a:r>
            <a:rPr lang="zh-CN" altLang="en-US" sz="1100">
              <a:solidFill>
                <a:sysClr val="windowText" lastClr="000000"/>
              </a:solidFill>
            </a:rPr>
            <a:t>白色</a:t>
          </a:r>
          <a:r>
            <a:rPr lang="zh-CN" altLang="en-US" sz="1100"/>
            <a:t>为建议性数值，也可修改；</a:t>
          </a:r>
          <a:endParaRPr lang="en-US" altLang="zh-CN" sz="1100"/>
        </a:p>
        <a:p>
          <a:r>
            <a:rPr lang="zh-CN" altLang="en-US" sz="1100"/>
            <a:t>勘察孔土层名称和层底标高请从</a:t>
          </a:r>
          <a:r>
            <a:rPr lang="en-US" altLang="zh-CN" sz="1100" b="1">
              <a:solidFill>
                <a:srgbClr val="FF0000"/>
              </a:solidFill>
            </a:rPr>
            <a:t>[C11]</a:t>
          </a:r>
          <a:r>
            <a:rPr lang="zh-CN" altLang="en-US" sz="1100"/>
            <a:t>单元格开始输入，并按已有的图层信息格式输入；</a:t>
          </a:r>
          <a:endParaRPr lang="en-US" altLang="zh-CN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InPutSolidPhisicalP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中为土层侧摩阻力及系数取值，并输出各勘察孔土层绝对标高值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最值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土层名称每层名字均要有所区分；</a:t>
          </a:r>
          <a:endParaRPr lang="zh-CN" altLang="zh-CN">
            <a:effectLst/>
          </a:endParaRPr>
        </a:p>
        <a:p>
          <a:r>
            <a:rPr lang="zh-CN" altLang="en-US" sz="1100"/>
            <a:t>土层个数（</a:t>
          </a:r>
          <a:r>
            <a:rPr lang="en-US" altLang="zh-CN" sz="1100"/>
            <a:t>B5</a:t>
          </a:r>
          <a:r>
            <a:rPr lang="zh-CN" altLang="en-US" sz="1100"/>
            <a:t>）可自动输入，也可人为修改；</a:t>
          </a:r>
          <a:endParaRPr lang="en-US" altLang="zh-CN" sz="1100"/>
        </a:p>
        <a:p>
          <a:r>
            <a:rPr lang="zh-CN" altLang="en-US" sz="1100"/>
            <a:t>“</a:t>
          </a:r>
          <a:r>
            <a:rPr lang="en-US" altLang="zh-CN" sz="1100"/>
            <a:t>CalSheet</a:t>
          </a:r>
          <a:r>
            <a:rPr lang="zh-CN" altLang="en-US" sz="1100"/>
            <a:t>！</a:t>
          </a:r>
          <a:r>
            <a:rPr lang="en-US" altLang="zh-CN" sz="1100"/>
            <a:t>E9</a:t>
          </a:r>
          <a:r>
            <a:rPr lang="zh-CN" altLang="en-US" sz="1100"/>
            <a:t>”中的</a:t>
          </a:r>
          <a:r>
            <a:rPr lang="zh-CN" altLang="en-US" sz="1100" b="1"/>
            <a:t>桩径尺寸效应系数限值</a:t>
          </a:r>
          <a:r>
            <a:rPr lang="zh-CN" altLang="en-US" sz="1100"/>
            <a:t>需人为干预；</a:t>
          </a:r>
          <a:endParaRPr lang="en-US" altLang="zh-CN" sz="1100"/>
        </a:p>
        <a:p>
          <a:r>
            <a:rPr lang="zh-CN" altLang="en-US" sz="1100"/>
            <a:t>不同直径桩的注浆量参数在“钢筋强度和模量”</a:t>
          </a:r>
          <a:r>
            <a:rPr lang="en-US" altLang="zh-CN" sz="1100"/>
            <a:t>Sheet</a:t>
          </a:r>
          <a:r>
            <a:rPr lang="zh-CN" altLang="en-US" sz="1100"/>
            <a:t>中；</a:t>
          </a:r>
          <a:endParaRPr lang="en-US" altLang="zh-CN" sz="1100"/>
        </a:p>
        <a:p>
          <a:r>
            <a:rPr lang="zh-CN" altLang="en-US" sz="1100"/>
            <a:t>基桩承载力使用系数在</a:t>
          </a:r>
          <a:r>
            <a:rPr lang="en-US" altLang="zh-CN" sz="1100"/>
            <a:t>[R7]</a:t>
          </a:r>
          <a:r>
            <a:rPr lang="zh-CN" altLang="en-US" sz="1100"/>
            <a:t>；</a:t>
          </a:r>
          <a:endParaRPr lang="en-US" altLang="zh-CN" sz="1100"/>
        </a:p>
        <a:p>
          <a:endParaRPr lang="en-US" altLang="zh-CN" sz="1100"/>
        </a:p>
        <a:p>
          <a:endParaRPr lang="en-US" altLang="zh-CN" sz="1100"/>
        </a:p>
        <a:p>
          <a:endParaRPr lang="en-US" altLang="zh-CN" sz="1100"/>
        </a:p>
        <a:p>
          <a:endParaRPr lang="zh-CN" altLang="en-US" sz="1100"/>
        </a:p>
      </xdr:txBody>
    </xdr:sp>
    <xdr:clientData/>
  </xdr:twoCellAnchor>
  <xdr:twoCellAnchor editAs="oneCell">
    <xdr:from>
      <xdr:col>8</xdr:col>
      <xdr:colOff>95250</xdr:colOff>
      <xdr:row>27</xdr:row>
      <xdr:rowOff>123825</xdr:rowOff>
    </xdr:from>
    <xdr:to>
      <xdr:col>11</xdr:col>
      <xdr:colOff>685800</xdr:colOff>
      <xdr:row>49</xdr:row>
      <xdr:rowOff>118531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58025" y="4638675"/>
          <a:ext cx="2409825" cy="35570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33</xdr:row>
          <xdr:rowOff>19050</xdr:rowOff>
        </xdr:from>
        <xdr:to>
          <xdr:col>13</xdr:col>
          <xdr:colOff>609600</xdr:colOff>
          <xdr:row>35</xdr:row>
          <xdr:rowOff>9525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拉</a:t>
              </a: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不同深度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33</xdr:row>
          <xdr:rowOff>19050</xdr:rowOff>
        </xdr:from>
        <xdr:to>
          <xdr:col>14</xdr:col>
          <xdr:colOff>352425</xdr:colOff>
          <xdr:row>34</xdr:row>
          <xdr:rowOff>152400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拉</a:t>
              </a: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各持力层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33</xdr:row>
          <xdr:rowOff>9525</xdr:rowOff>
        </xdr:from>
        <xdr:to>
          <xdr:col>15</xdr:col>
          <xdr:colOff>285750</xdr:colOff>
          <xdr:row>35</xdr:row>
          <xdr:rowOff>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TensilePPTOut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304800</xdr:colOff>
      <xdr:row>28</xdr:row>
      <xdr:rowOff>38100</xdr:rowOff>
    </xdr:from>
    <xdr:to>
      <xdr:col>21</xdr:col>
      <xdr:colOff>95250</xdr:colOff>
      <xdr:row>42</xdr:row>
      <xdr:rowOff>19050</xdr:rowOff>
    </xdr:to>
    <xdr:sp macro="" textlink="">
      <xdr:nvSpPr>
        <xdr:cNvPr id="5" name="TextBox 4"/>
        <xdr:cNvSpPr txBox="1"/>
      </xdr:nvSpPr>
      <xdr:spPr>
        <a:xfrm>
          <a:off x="13220700" y="4714875"/>
          <a:ext cx="4410075" cy="22479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C0000"/>
              </a:solidFill>
            </a:rPr>
            <a:t>三个按钮作用</a:t>
          </a:r>
          <a:r>
            <a:rPr lang="en-US" altLang="zh-CN" sz="1100">
              <a:solidFill>
                <a:srgbClr val="CC0000"/>
              </a:solidFill>
            </a:rPr>
            <a:t>:</a:t>
          </a:r>
          <a:r>
            <a:rPr lang="zh-CN" altLang="en-US" sz="1100" b="1">
              <a:solidFill>
                <a:srgbClr val="00B050"/>
              </a:solidFill>
            </a:rPr>
            <a:t>（各计算常用变值以</a:t>
          </a:r>
          <a:r>
            <a:rPr lang="zh-CN" altLang="en-US" sz="1100" b="1">
              <a:solidFill>
                <a:srgbClr val="D60AE6"/>
              </a:solidFill>
            </a:rPr>
            <a:t>粉紫色</a:t>
          </a:r>
          <a:r>
            <a:rPr lang="zh-CN" altLang="en-US" sz="1100" b="1">
              <a:solidFill>
                <a:srgbClr val="00B050"/>
              </a:solidFill>
            </a:rPr>
            <a:t>表示出）</a:t>
          </a:r>
          <a:endParaRPr lang="en-US" altLang="zh-CN" sz="1100" b="1">
            <a:solidFill>
              <a:srgbClr val="00B050"/>
            </a:solidFill>
          </a:endParaRPr>
        </a:p>
        <a:p>
          <a:r>
            <a:rPr lang="zh-CN" altLang="en-US" sz="1100" b="1">
              <a:solidFill>
                <a:srgbClr val="FF0000"/>
              </a:solidFill>
            </a:rPr>
            <a:t>不用深度</a:t>
          </a:r>
          <a:r>
            <a:rPr lang="zh-CN" altLang="en-US" sz="1100"/>
            <a:t>：计算</a:t>
          </a:r>
          <a:r>
            <a:rPr lang="en-US" altLang="zh-CN" sz="1100"/>
            <a:t>[B8]</a:t>
          </a:r>
          <a:r>
            <a:rPr lang="zh-CN" altLang="en-US" sz="1100"/>
            <a:t>输入直径的基桩</a:t>
          </a:r>
          <a:r>
            <a:rPr lang="en-US" altLang="zh-CN" sz="1100"/>
            <a:t>,</a:t>
          </a:r>
          <a:r>
            <a:rPr lang="zh-CN" altLang="en-US" sz="1100"/>
            <a:t>在</a:t>
          </a:r>
          <a:r>
            <a:rPr lang="en-US" altLang="zh-CN" sz="1100"/>
            <a:t>[B2]</a:t>
          </a:r>
          <a:r>
            <a:rPr lang="zh-CN" altLang="en-US" sz="1100"/>
            <a:t>绝对标高以下不同基桩长度下的各勘探孔中最小承载力</a:t>
          </a:r>
          <a:r>
            <a:rPr lang="en-US" altLang="zh-CN" sz="1100"/>
            <a:t>,</a:t>
          </a:r>
          <a:r>
            <a:rPr lang="zh-CN" altLang="en-US" sz="1100"/>
            <a:t>相应承载力对应的最优配筋及造价，输出在“</a:t>
          </a:r>
          <a:r>
            <a:rPr lang="en-US" altLang="zh-CN" sz="1100"/>
            <a:t>Output</a:t>
          </a:r>
          <a:r>
            <a:rPr lang="zh-CN" altLang="en-US" sz="1100"/>
            <a:t>”中</a:t>
          </a:r>
          <a:r>
            <a:rPr lang="en-US" altLang="zh-CN" sz="1100"/>
            <a:t>;</a:t>
          </a:r>
        </a:p>
        <a:p>
          <a:endParaRPr lang="en-US" altLang="zh-CN" sz="1100"/>
        </a:p>
        <a:p>
          <a:r>
            <a:rPr lang="zh-CN" altLang="en-US" sz="1100" b="1">
              <a:solidFill>
                <a:srgbClr val="D60AE6"/>
              </a:solidFill>
            </a:rPr>
            <a:t>各持力层</a:t>
          </a:r>
          <a:r>
            <a:rPr lang="zh-CN" altLang="en-US" sz="1100"/>
            <a:t>：计算给出各勘探孔中每个土层的</a:t>
          </a:r>
          <a:r>
            <a:rPr lang="zh-CN" altLang="en-US" sz="1100" b="1">
              <a:solidFill>
                <a:srgbClr val="FF0000"/>
              </a:solidFill>
            </a:rPr>
            <a:t>层底</a:t>
          </a:r>
          <a:r>
            <a:rPr lang="zh-CN" altLang="en-US" sz="1100" b="1">
              <a:solidFill>
                <a:srgbClr val="00B0F0"/>
              </a:solidFill>
            </a:rPr>
            <a:t>最高</a:t>
          </a:r>
          <a:r>
            <a:rPr lang="zh-CN" altLang="en-US" sz="1100"/>
            <a:t>、</a:t>
          </a:r>
          <a:r>
            <a:rPr lang="zh-CN" altLang="en-US" sz="1100" b="1">
              <a:solidFill>
                <a:srgbClr val="FF0000"/>
              </a:solidFill>
            </a:rPr>
            <a:t>层顶</a:t>
          </a:r>
          <a:r>
            <a:rPr lang="zh-CN" altLang="en-US" sz="1100" b="1">
              <a:solidFill>
                <a:srgbClr val="00B0F0"/>
              </a:solidFill>
            </a:rPr>
            <a:t>最低</a:t>
          </a:r>
          <a:r>
            <a:rPr lang="zh-CN" altLang="en-US" sz="1100"/>
            <a:t>及</a:t>
          </a:r>
          <a:r>
            <a:rPr lang="zh-CN" altLang="en-US" sz="1100" b="1">
              <a:solidFill>
                <a:srgbClr val="FF0000"/>
              </a:solidFill>
            </a:rPr>
            <a:t>层底</a:t>
          </a:r>
          <a:r>
            <a:rPr lang="zh-CN" altLang="en-US" sz="1100" b="1">
              <a:solidFill>
                <a:srgbClr val="00B0F0"/>
              </a:solidFill>
            </a:rPr>
            <a:t>最低</a:t>
          </a:r>
          <a:r>
            <a:rPr lang="zh-CN" altLang="en-US" sz="1100"/>
            <a:t>，并计算</a:t>
          </a:r>
          <a:r>
            <a:rPr lang="en-US" altLang="zh-CN" sz="1100"/>
            <a:t>[B2]</a:t>
          </a:r>
          <a:r>
            <a:rPr lang="zh-CN" altLang="en-US" sz="1100"/>
            <a:t>绝对标高以下、桩径在</a:t>
          </a:r>
          <a:r>
            <a:rPr lang="en-US" altLang="zh-CN" sz="1100"/>
            <a:t>[B8]</a:t>
          </a:r>
          <a:r>
            <a:rPr lang="zh-CN" altLang="en-US" sz="1100"/>
            <a:t>和</a:t>
          </a:r>
          <a:r>
            <a:rPr lang="en-US" altLang="zh-CN" sz="1100"/>
            <a:t>[C7]</a:t>
          </a:r>
          <a:r>
            <a:rPr lang="zh-CN" altLang="en-US" sz="1100"/>
            <a:t>之间、进入层顶最低</a:t>
          </a:r>
          <a:r>
            <a:rPr lang="en-US" altLang="zh-CN" sz="1100"/>
            <a:t>[C2]</a:t>
          </a:r>
          <a:r>
            <a:rPr lang="zh-CN" altLang="en-US" sz="1100"/>
            <a:t>深度的所有桩的各结果列于“</a:t>
          </a:r>
          <a:r>
            <a:rPr lang="en-US" altLang="zh-CN" sz="1100"/>
            <a:t>PileComparison</a:t>
          </a:r>
          <a:r>
            <a:rPr lang="zh-CN" altLang="en-US" sz="1100"/>
            <a:t>”表单中；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 b="1">
              <a:solidFill>
                <a:srgbClr val="0000FF"/>
              </a:solidFill>
            </a:rPr>
            <a:t>PPTOut</a:t>
          </a:r>
          <a:r>
            <a:rPr lang="zh-CN" altLang="en-US" sz="1100"/>
            <a:t>：根据“</a:t>
          </a:r>
          <a:r>
            <a:rPr lang="en-US" altLang="zh-CN" sz="1100"/>
            <a:t>PPTOutPut</a:t>
          </a:r>
          <a:r>
            <a:rPr lang="zh-CN" altLang="en-US" sz="1100"/>
            <a:t>”中输入的不同桩径和入土深度，计算得出所需结果。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</xdr:row>
          <xdr:rowOff>0</xdr:rowOff>
        </xdr:from>
        <xdr:to>
          <xdr:col>13</xdr:col>
          <xdr:colOff>619125</xdr:colOff>
          <xdr:row>32</xdr:row>
          <xdr:rowOff>152400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压</a:t>
              </a: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不同深度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31</xdr:row>
          <xdr:rowOff>9525</xdr:rowOff>
        </xdr:from>
        <xdr:to>
          <xdr:col>14</xdr:col>
          <xdr:colOff>352425</xdr:colOff>
          <xdr:row>32</xdr:row>
          <xdr:rowOff>142875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压</a:t>
              </a: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各持力层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30</xdr:row>
          <xdr:rowOff>152400</xdr:rowOff>
        </xdr:from>
        <xdr:to>
          <xdr:col>15</xdr:col>
          <xdr:colOff>285750</xdr:colOff>
          <xdr:row>32</xdr:row>
          <xdr:rowOff>142875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CompPPTOut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339725</xdr:colOff>
      <xdr:row>15</xdr:row>
      <xdr:rowOff>111125</xdr:rowOff>
    </xdr:from>
    <xdr:to>
      <xdr:col>12</xdr:col>
      <xdr:colOff>73025</xdr:colOff>
      <xdr:row>35</xdr:row>
      <xdr:rowOff>47625</xdr:rowOff>
    </xdr:to>
    <xdr:graphicFrame macro="">
      <xdr:nvGraphicFramePr>
        <xdr:cNvPr id="387" name="Chart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1</xdr:row>
      <xdr:rowOff>85724</xdr:rowOff>
    </xdr:from>
    <xdr:to>
      <xdr:col>19</xdr:col>
      <xdr:colOff>123825</xdr:colOff>
      <xdr:row>12</xdr:row>
      <xdr:rowOff>66674</xdr:rowOff>
    </xdr:to>
    <xdr:sp macro="" textlink="">
      <xdr:nvSpPr>
        <xdr:cNvPr id="3" name="TextBox 2"/>
        <xdr:cNvSpPr txBox="1"/>
      </xdr:nvSpPr>
      <xdr:spPr>
        <a:xfrm>
          <a:off x="9553575" y="428624"/>
          <a:ext cx="3905250" cy="17621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说明：</a:t>
          </a:r>
          <a:endParaRPr lang="en-US" altLang="zh-CN" sz="1100"/>
        </a:p>
        <a:p>
          <a:r>
            <a:rPr lang="zh-CN" altLang="en-US" sz="1100"/>
            <a:t>仅输入桩径和入土深度，其他值不需要输入。</a:t>
          </a:r>
          <a:endParaRPr lang="en-US" altLang="zh-CN" sz="1100"/>
        </a:p>
        <a:p>
          <a:r>
            <a:rPr lang="zh-CN" altLang="en-US" sz="1100"/>
            <a:t>承载力单价对比图的图标形式在每次点击</a:t>
          </a:r>
          <a:r>
            <a:rPr lang="en-US" altLang="zh-CN" sz="1100"/>
            <a:t>PPTOut</a:t>
          </a:r>
          <a:r>
            <a:rPr lang="zh-CN" altLang="en-US" sz="1100"/>
            <a:t>按钮后会自动还原更新。</a:t>
          </a:r>
          <a:endParaRPr lang="en-US" altLang="zh-CN" sz="1100"/>
        </a:p>
        <a:p>
          <a:r>
            <a:rPr lang="zh-CN" altLang="en-US" sz="1100" b="1">
              <a:solidFill>
                <a:srgbClr val="FF0000"/>
              </a:solidFill>
            </a:rPr>
            <a:t>单位轴网桩数为</a:t>
          </a:r>
          <a:r>
            <a:rPr lang="en-US" altLang="zh-CN" sz="1100" b="1">
              <a:solidFill>
                <a:srgbClr val="FF0000"/>
              </a:solidFill>
            </a:rPr>
            <a:t>0</a:t>
          </a:r>
          <a:r>
            <a:rPr lang="zh-CN" altLang="en-US" sz="1100" b="1">
              <a:solidFill>
                <a:srgbClr val="FF0000"/>
              </a:solidFill>
            </a:rPr>
            <a:t>时表示：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抗拔：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水浮力小于上部结构的自重。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抗压：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水浮力大于上部结构的自重。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133350</xdr:rowOff>
        </xdr:from>
        <xdr:to>
          <xdr:col>12</xdr:col>
          <xdr:colOff>438150</xdr:colOff>
          <xdr:row>3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CompPPTOut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4</xdr:row>
          <xdr:rowOff>85725</xdr:rowOff>
        </xdr:from>
        <xdr:to>
          <xdr:col>12</xdr:col>
          <xdr:colOff>438150</xdr:colOff>
          <xdr:row>6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TensilePPTOut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520700</xdr:colOff>
      <xdr:row>9</xdr:row>
      <xdr:rowOff>111125</xdr:rowOff>
    </xdr:from>
    <xdr:to>
      <xdr:col>10</xdr:col>
      <xdr:colOff>673100</xdr:colOff>
      <xdr:row>29</xdr:row>
      <xdr:rowOff>47625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952500</xdr:rowOff>
    </xdr:from>
    <xdr:to>
      <xdr:col>7</xdr:col>
      <xdr:colOff>342900</xdr:colOff>
      <xdr:row>0</xdr:row>
      <xdr:rowOff>1200150</xdr:rowOff>
    </xdr:to>
    <xdr:sp macro="" textlink="">
      <xdr:nvSpPr>
        <xdr:cNvPr id="2" name="Rectangle 38"/>
        <xdr:cNvSpPr>
          <a:spLocks noChangeArrowheads="1"/>
        </xdr:cNvSpPr>
      </xdr:nvSpPr>
      <xdr:spPr bwMode="auto">
        <a:xfrm>
          <a:off x="628650" y="952500"/>
          <a:ext cx="2752725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2</xdr:col>
      <xdr:colOff>1904</xdr:colOff>
      <xdr:row>0</xdr:row>
      <xdr:rowOff>952500</xdr:rowOff>
    </xdr:from>
    <xdr:to>
      <xdr:col>7</xdr:col>
      <xdr:colOff>272442</xdr:colOff>
      <xdr:row>0</xdr:row>
      <xdr:rowOff>1202111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30554" y="952500"/>
          <a:ext cx="2680363" cy="249611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zh-CN" altLang="zh-CN" sz="1000" b="0" i="0" baseline="0">
              <a:effectLst/>
              <a:latin typeface="+mn-lt"/>
              <a:ea typeface="+mn-ea"/>
              <a:cs typeface="+mn-cs"/>
            </a:rPr>
            <a:t>裙房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抗压桩岩土承载力计算</a:t>
          </a:r>
        </a:p>
      </xdr:txBody>
    </xdr:sp>
    <xdr:clientData/>
  </xdr:twoCellAnchor>
  <xdr:twoCellAnchor editAs="absolute">
    <xdr:from>
      <xdr:col>2</xdr:col>
      <xdr:colOff>0</xdr:colOff>
      <xdr:row>0</xdr:row>
      <xdr:rowOff>676275</xdr:rowOff>
    </xdr:from>
    <xdr:to>
      <xdr:col>7</xdr:col>
      <xdr:colOff>333375</xdr:colOff>
      <xdr:row>0</xdr:row>
      <xdr:rowOff>904875</xdr:rowOff>
    </xdr:to>
    <xdr:sp macro="" textlink="">
      <xdr:nvSpPr>
        <xdr:cNvPr id="4" name="Rectangle 60"/>
        <xdr:cNvSpPr>
          <a:spLocks noChangeArrowheads="1"/>
        </xdr:cNvSpPr>
      </xdr:nvSpPr>
      <xdr:spPr bwMode="auto">
        <a:xfrm>
          <a:off x="628650" y="676275"/>
          <a:ext cx="274320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114300</xdr:colOff>
      <xdr:row>0</xdr:row>
      <xdr:rowOff>171450</xdr:rowOff>
    </xdr:from>
    <xdr:to>
      <xdr:col>16</xdr:col>
      <xdr:colOff>266700</xdr:colOff>
      <xdr:row>0</xdr:row>
      <xdr:rowOff>381000</xdr:rowOff>
    </xdr:to>
    <xdr:sp macro="" textlink="">
      <xdr:nvSpPr>
        <xdr:cNvPr id="5" name="Rectangle 62"/>
        <xdr:cNvSpPr>
          <a:spLocks noChangeArrowheads="1"/>
        </xdr:cNvSpPr>
      </xdr:nvSpPr>
      <xdr:spPr bwMode="auto">
        <a:xfrm>
          <a:off x="6334125" y="171450"/>
          <a:ext cx="53340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153496</xdr:colOff>
      <xdr:row>0</xdr:row>
      <xdr:rowOff>104321</xdr:rowOff>
    </xdr:from>
    <xdr:to>
      <xdr:col>16</xdr:col>
      <xdr:colOff>305964</xdr:colOff>
      <xdr:row>0</xdr:row>
      <xdr:rowOff>390525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373321" y="104321"/>
          <a:ext cx="533468" cy="286204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28469AF-6A53-4E54-B6CC-706D1D2F1A3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9</xdr:col>
      <xdr:colOff>171450</xdr:colOff>
      <xdr:row>0</xdr:row>
      <xdr:rowOff>676275</xdr:rowOff>
    </xdr:from>
    <xdr:to>
      <xdr:col>16</xdr:col>
      <xdr:colOff>314325</xdr:colOff>
      <xdr:row>0</xdr:row>
      <xdr:rowOff>838200</xdr:rowOff>
    </xdr:to>
    <xdr:sp macro="" textlink="">
      <xdr:nvSpPr>
        <xdr:cNvPr id="7" name="Rectangle 64"/>
        <xdr:cNvSpPr>
          <a:spLocks noChangeArrowheads="1"/>
        </xdr:cNvSpPr>
      </xdr:nvSpPr>
      <xdr:spPr bwMode="auto">
        <a:xfrm>
          <a:off x="4038600" y="676275"/>
          <a:ext cx="2876550" cy="16192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428625</xdr:rowOff>
    </xdr:from>
    <xdr:to>
      <xdr:col>16</xdr:col>
      <xdr:colOff>304800</xdr:colOff>
      <xdr:row>0</xdr:row>
      <xdr:rowOff>600075</xdr:rowOff>
    </xdr:to>
    <xdr:sp macro="" textlink="">
      <xdr:nvSpPr>
        <xdr:cNvPr id="8" name="Rectangle 63"/>
        <xdr:cNvSpPr>
          <a:spLocks noChangeArrowheads="1"/>
        </xdr:cNvSpPr>
      </xdr:nvSpPr>
      <xdr:spPr bwMode="auto">
        <a:xfrm>
          <a:off x="4381500" y="428625"/>
          <a:ext cx="252412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104775</xdr:colOff>
      <xdr:row>0</xdr:row>
      <xdr:rowOff>923925</xdr:rowOff>
    </xdr:from>
    <xdr:to>
      <xdr:col>16</xdr:col>
      <xdr:colOff>285750</xdr:colOff>
      <xdr:row>0</xdr:row>
      <xdr:rowOff>1219200</xdr:rowOff>
    </xdr:to>
    <xdr:sp macro="" textlink="">
      <xdr:nvSpPr>
        <xdr:cNvPr id="9" name="Rectangle 67"/>
        <xdr:cNvSpPr>
          <a:spLocks noChangeArrowheads="1"/>
        </xdr:cNvSpPr>
      </xdr:nvSpPr>
      <xdr:spPr bwMode="auto">
        <a:xfrm>
          <a:off x="6324600" y="923925"/>
          <a:ext cx="5619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0</xdr:colOff>
      <xdr:row>0</xdr:row>
      <xdr:rowOff>923925</xdr:rowOff>
    </xdr:from>
    <xdr:to>
      <xdr:col>14</xdr:col>
      <xdr:colOff>66675</xdr:colOff>
      <xdr:row>0</xdr:row>
      <xdr:rowOff>1219200</xdr:rowOff>
    </xdr:to>
    <xdr:sp macro="" textlink="">
      <xdr:nvSpPr>
        <xdr:cNvPr id="10" name="Rectangle 66"/>
        <xdr:cNvSpPr>
          <a:spLocks noChangeArrowheads="1"/>
        </xdr:cNvSpPr>
      </xdr:nvSpPr>
      <xdr:spPr bwMode="auto">
        <a:xfrm>
          <a:off x="5143500" y="923925"/>
          <a:ext cx="7620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219075</xdr:colOff>
      <xdr:row>0</xdr:row>
      <xdr:rowOff>923925</xdr:rowOff>
    </xdr:from>
    <xdr:to>
      <xdr:col>11</xdr:col>
      <xdr:colOff>152400</xdr:colOff>
      <xdr:row>0</xdr:row>
      <xdr:rowOff>1219200</xdr:rowOff>
    </xdr:to>
    <xdr:sp macro="" textlink="">
      <xdr:nvSpPr>
        <xdr:cNvPr id="11" name="Rectangle 65"/>
        <xdr:cNvSpPr>
          <a:spLocks noChangeArrowheads="1"/>
        </xdr:cNvSpPr>
      </xdr:nvSpPr>
      <xdr:spPr bwMode="auto">
        <a:xfrm>
          <a:off x="4086225" y="923925"/>
          <a:ext cx="69532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66675</xdr:colOff>
      <xdr:row>0</xdr:row>
      <xdr:rowOff>171450</xdr:rowOff>
    </xdr:from>
    <xdr:to>
      <xdr:col>11</xdr:col>
      <xdr:colOff>152400</xdr:colOff>
      <xdr:row>0</xdr:row>
      <xdr:rowOff>352425</xdr:rowOff>
    </xdr:to>
    <xdr:sp macro="" textlink="">
      <xdr:nvSpPr>
        <xdr:cNvPr id="12" name="Rectangle 61"/>
        <xdr:cNvSpPr>
          <a:spLocks noChangeArrowheads="1"/>
        </xdr:cNvSpPr>
      </xdr:nvSpPr>
      <xdr:spPr bwMode="auto">
        <a:xfrm>
          <a:off x="3619500" y="171450"/>
          <a:ext cx="1162050" cy="1809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171450</xdr:rowOff>
    </xdr:from>
    <xdr:to>
      <xdr:col>14</xdr:col>
      <xdr:colOff>314325</xdr:colOff>
      <xdr:row>0</xdr:row>
      <xdr:rowOff>371475</xdr:rowOff>
    </xdr:to>
    <xdr:sp macro="" textlink="">
      <xdr:nvSpPr>
        <xdr:cNvPr id="13" name="Rectangle 39"/>
        <xdr:cNvSpPr>
          <a:spLocks noChangeArrowheads="1"/>
        </xdr:cNvSpPr>
      </xdr:nvSpPr>
      <xdr:spPr bwMode="auto">
        <a:xfrm>
          <a:off x="4933950" y="171450"/>
          <a:ext cx="1219200" cy="20002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367665</xdr:colOff>
      <xdr:row>0</xdr:row>
      <xdr:rowOff>122464</xdr:rowOff>
    </xdr:from>
    <xdr:to>
      <xdr:col>14</xdr:col>
      <xdr:colOff>333399</xdr:colOff>
      <xdr:row>0</xdr:row>
      <xdr:rowOff>390525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996815" y="122464"/>
          <a:ext cx="1175409" cy="26806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7390E3E3-1658-403A-ADC4-D224B7C9ED8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11</xdr:col>
      <xdr:colOff>481965</xdr:colOff>
      <xdr:row>0</xdr:row>
      <xdr:rowOff>923925</xdr:rowOff>
    </xdr:from>
    <xdr:to>
      <xdr:col>14</xdr:col>
      <xdr:colOff>146785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5111115" y="923925"/>
          <a:ext cx="874495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FE184A09-F4BD-4F38-A082-AA57720F242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26/07/2017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65037</xdr:colOff>
      <xdr:row>0</xdr:row>
      <xdr:rowOff>127000</xdr:rowOff>
    </xdr:from>
    <xdr:to>
      <xdr:col>11</xdr:col>
      <xdr:colOff>184785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617862" y="127000"/>
          <a:ext cx="1196073" cy="2635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FCFEE697-FAC4-4F06-A8DC-677504AB5C94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118110</xdr:colOff>
      <xdr:row>0</xdr:row>
      <xdr:rowOff>885825</xdr:rowOff>
    </xdr:from>
    <xdr:to>
      <xdr:col>16</xdr:col>
      <xdr:colOff>297051</xdr:colOff>
      <xdr:row>0</xdr:row>
      <xdr:rowOff>1228725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337935" y="885825"/>
          <a:ext cx="559941" cy="34290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2FA8E11D-337F-4AD0-B283-8E3BE06DE5E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0</xdr:colOff>
      <xdr:row>0</xdr:row>
      <xdr:rowOff>1257300</xdr:rowOff>
    </xdr:to>
    <xdr:grpSp>
      <xdr:nvGrpSpPr>
        <xdr:cNvPr id="19" name="Group 71"/>
        <xdr:cNvGrpSpPr>
          <a:grpSpLocks/>
        </xdr:cNvGrpSpPr>
      </xdr:nvGrpSpPr>
      <xdr:grpSpPr bwMode="auto">
        <a:xfrm>
          <a:off x="0" y="0"/>
          <a:ext cx="6981825" cy="1257300"/>
          <a:chOff x="0" y="0"/>
          <a:chExt cx="640" cy="134"/>
        </a:xfrm>
      </xdr:grpSpPr>
      <xdr:grpSp>
        <xdr:nvGrpSpPr>
          <xdr:cNvPr id="20" name="Group 58"/>
          <xdr:cNvGrpSpPr>
            <a:grpSpLocks/>
          </xdr:cNvGrpSpPr>
        </xdr:nvGrpSpPr>
        <xdr:grpSpPr bwMode="auto">
          <a:xfrm>
            <a:off x="1" y="2"/>
            <a:ext cx="602" cy="114"/>
            <a:chOff x="1" y="2"/>
            <a:chExt cx="602" cy="114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9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6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1"/>
              <a:ext cx="4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17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4" y="91"/>
              <a:ext cx="23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1"/>
              <a:ext cx="24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2" y="2"/>
              <a:ext cx="50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82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42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0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21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22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10</xdr:col>
      <xdr:colOff>108584</xdr:colOff>
      <xdr:row>0</xdr:row>
      <xdr:rowOff>428625</xdr:rowOff>
    </xdr:from>
    <xdr:to>
      <xdr:col>16</xdr:col>
      <xdr:colOff>222884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356734" y="428625"/>
          <a:ext cx="2466975" cy="180975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DF9D6B34-68C0-48A8-8AEA-34301B3E78B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9</xdr:col>
      <xdr:colOff>118110</xdr:colOff>
      <xdr:row>0</xdr:row>
      <xdr:rowOff>611505</xdr:rowOff>
    </xdr:from>
    <xdr:to>
      <xdr:col>16</xdr:col>
      <xdr:colOff>213387</xdr:colOff>
      <xdr:row>0</xdr:row>
      <xdr:rowOff>867144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3985260" y="611505"/>
          <a:ext cx="2828952" cy="255639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4E3D703-2989-41F4-B5E0-9CB9B30BBBC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2</xdr:col>
      <xdr:colOff>0</xdr:colOff>
      <xdr:row>0</xdr:row>
      <xdr:rowOff>676275</xdr:rowOff>
    </xdr:from>
    <xdr:to>
      <xdr:col>7</xdr:col>
      <xdr:colOff>262906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28650" y="676275"/>
          <a:ext cx="2672731" cy="2286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077E7648-6F8E-40E2-A01B-1AF4C77E99AA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上海瑞虹新城10号地块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276225</xdr:colOff>
      <xdr:row>0</xdr:row>
      <xdr:rowOff>1200150</xdr:rowOff>
    </xdr:to>
    <xdr:sp macro="" textlink="">
      <xdr:nvSpPr>
        <xdr:cNvPr id="383684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271158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276225</xdr:colOff>
      <xdr:row>0</xdr:row>
      <xdr:rowOff>904875</xdr:rowOff>
    </xdr:to>
    <xdr:sp macro="" textlink="">
      <xdr:nvSpPr>
        <xdr:cNvPr id="383686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114300</xdr:colOff>
      <xdr:row>0</xdr:row>
      <xdr:rowOff>171450</xdr:rowOff>
    </xdr:from>
    <xdr:to>
      <xdr:col>17</xdr:col>
      <xdr:colOff>247650</xdr:colOff>
      <xdr:row>0</xdr:row>
      <xdr:rowOff>381000</xdr:rowOff>
    </xdr:to>
    <xdr:sp macro="" textlink="">
      <xdr:nvSpPr>
        <xdr:cNvPr id="383687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108585</xdr:colOff>
      <xdr:row>0</xdr:row>
      <xdr:rowOff>114300</xdr:rowOff>
    </xdr:from>
    <xdr:to>
      <xdr:col>17</xdr:col>
      <xdr:colOff>258047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73C9EBC2-E4E0-43EA-9A2E-BB65F7E0D3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323850</xdr:colOff>
      <xdr:row>0</xdr:row>
      <xdr:rowOff>676275</xdr:rowOff>
    </xdr:from>
    <xdr:to>
      <xdr:col>17</xdr:col>
      <xdr:colOff>228600</xdr:colOff>
      <xdr:row>0</xdr:row>
      <xdr:rowOff>847725</xdr:rowOff>
    </xdr:to>
    <xdr:sp macro="" textlink="">
      <xdr:nvSpPr>
        <xdr:cNvPr id="383689" name="Rectangle 64"/>
        <xdr:cNvSpPr>
          <a:spLocks noChangeArrowheads="1"/>
        </xdr:cNvSpPr>
      </xdr:nvSpPr>
      <xdr:spPr bwMode="auto">
        <a:xfrm>
          <a:off x="4010025" y="676275"/>
          <a:ext cx="2457450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428625</xdr:rowOff>
    </xdr:from>
    <xdr:to>
      <xdr:col>17</xdr:col>
      <xdr:colOff>247650</xdr:colOff>
      <xdr:row>0</xdr:row>
      <xdr:rowOff>619125</xdr:rowOff>
    </xdr:to>
    <xdr:sp macro="" textlink="">
      <xdr:nvSpPr>
        <xdr:cNvPr id="383690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47625</xdr:colOff>
      <xdr:row>0</xdr:row>
      <xdr:rowOff>923925</xdr:rowOff>
    </xdr:from>
    <xdr:to>
      <xdr:col>17</xdr:col>
      <xdr:colOff>238125</xdr:colOff>
      <xdr:row>0</xdr:row>
      <xdr:rowOff>1219200</xdr:rowOff>
    </xdr:to>
    <xdr:sp macro="" textlink="">
      <xdr:nvSpPr>
        <xdr:cNvPr id="383691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13</xdr:col>
      <xdr:colOff>85725</xdr:colOff>
      <xdr:row>0</xdr:row>
      <xdr:rowOff>923925</xdr:rowOff>
    </xdr:from>
    <xdr:to>
      <xdr:col>15</xdr:col>
      <xdr:colOff>76200</xdr:colOff>
      <xdr:row>0</xdr:row>
      <xdr:rowOff>1219200</xdr:rowOff>
    </xdr:to>
    <xdr:sp macro="" textlink="">
      <xdr:nvSpPr>
        <xdr:cNvPr id="383692" name="Rectangle 66"/>
        <xdr:cNvSpPr>
          <a:spLocks noChangeArrowheads="1"/>
        </xdr:cNvSpPr>
      </xdr:nvSpPr>
      <xdr:spPr bwMode="auto">
        <a:xfrm>
          <a:off x="4800600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923925</xdr:rowOff>
    </xdr:from>
    <xdr:to>
      <xdr:col>12</xdr:col>
      <xdr:colOff>0</xdr:colOff>
      <xdr:row>0</xdr:row>
      <xdr:rowOff>1219200</xdr:rowOff>
    </xdr:to>
    <xdr:sp macro="" textlink="">
      <xdr:nvSpPr>
        <xdr:cNvPr id="383693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47625</xdr:colOff>
      <xdr:row>0</xdr:row>
      <xdr:rowOff>171450</xdr:rowOff>
    </xdr:from>
    <xdr:to>
      <xdr:col>12</xdr:col>
      <xdr:colOff>133350</xdr:colOff>
      <xdr:row>0</xdr:row>
      <xdr:rowOff>381000</xdr:rowOff>
    </xdr:to>
    <xdr:sp macro="" textlink="">
      <xdr:nvSpPr>
        <xdr:cNvPr id="383694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171450</xdr:rowOff>
    </xdr:from>
    <xdr:to>
      <xdr:col>15</xdr:col>
      <xdr:colOff>342900</xdr:colOff>
      <xdr:row>0</xdr:row>
      <xdr:rowOff>381000</xdr:rowOff>
    </xdr:to>
    <xdr:sp macro="" textlink="">
      <xdr:nvSpPr>
        <xdr:cNvPr id="383695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294640</xdr:colOff>
      <xdr:row>0</xdr:row>
      <xdr:rowOff>78105</xdr:rowOff>
    </xdr:from>
    <xdr:to>
      <xdr:col>15</xdr:col>
      <xdr:colOff>340391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01AFFAD-C4B5-4CD0-B30E-8891F7A344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57150</xdr:colOff>
      <xdr:row>0</xdr:row>
      <xdr:rowOff>923925</xdr:rowOff>
    </xdr:from>
    <xdr:to>
      <xdr:col>12</xdr:col>
      <xdr:colOff>228599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743325" y="923925"/>
          <a:ext cx="85724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80CAB401-0B4A-4D2B-BD97-CB5307F50E0C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13</xdr:col>
      <xdr:colOff>40166</xdr:colOff>
      <xdr:row>0</xdr:row>
      <xdr:rowOff>923925</xdr:rowOff>
    </xdr:from>
    <xdr:to>
      <xdr:col>15</xdr:col>
      <xdr:colOff>100964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3AF87585-BC16-4AF9-B6AB-5F1ACE72DF7D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9</xdr:col>
      <xdr:colOff>23495</xdr:colOff>
      <xdr:row>0</xdr:row>
      <xdr:rowOff>152400</xdr:rowOff>
    </xdr:from>
    <xdr:to>
      <xdr:col>12</xdr:col>
      <xdr:colOff>135928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C06DB19D-A89B-4857-ADEA-335F1AC28FB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16</xdr:col>
      <xdr:colOff>46991</xdr:colOff>
      <xdr:row>0</xdr:row>
      <xdr:rowOff>892175</xdr:rowOff>
    </xdr:from>
    <xdr:to>
      <xdr:col>17</xdr:col>
      <xdr:colOff>227656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8EDE65F1-6858-4EED-A4A7-51C2B9EE398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295275</xdr:colOff>
      <xdr:row>1</xdr:row>
      <xdr:rowOff>0</xdr:rowOff>
    </xdr:to>
    <xdr:grpSp>
      <xdr:nvGrpSpPr>
        <xdr:cNvPr id="383701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83705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83727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83706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83707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08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09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0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1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2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3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4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5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6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7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253366</xdr:colOff>
      <xdr:row>0</xdr:row>
      <xdr:rowOff>412749</xdr:rowOff>
    </xdr:from>
    <xdr:to>
      <xdr:col>17</xdr:col>
      <xdr:colOff>232411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A5089EA-676E-4E18-B9BD-FAA493044C8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304165</xdr:colOff>
      <xdr:row>0</xdr:row>
      <xdr:rowOff>611505</xdr:rowOff>
    </xdr:from>
    <xdr:to>
      <xdr:col>17</xdr:col>
      <xdr:colOff>222885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01F9E3B-E008-4678-BB91-AAEC12D31A5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271158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58288D9-CDB4-4FD3-AC9E-25B390F01461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276225</xdr:colOff>
      <xdr:row>0</xdr:row>
      <xdr:rowOff>1200150</xdr:rowOff>
    </xdr:to>
    <xdr:sp macro="" textlink="">
      <xdr:nvSpPr>
        <xdr:cNvPr id="2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271158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24840" y="942975"/>
          <a:ext cx="2684793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276225</xdr:colOff>
      <xdr:row>0</xdr:row>
      <xdr:rowOff>904875</xdr:rowOff>
    </xdr:to>
    <xdr:sp macro="" textlink="">
      <xdr:nvSpPr>
        <xdr:cNvPr id="4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114300</xdr:colOff>
      <xdr:row>0</xdr:row>
      <xdr:rowOff>171450</xdr:rowOff>
    </xdr:from>
    <xdr:to>
      <xdr:col>17</xdr:col>
      <xdr:colOff>247650</xdr:colOff>
      <xdr:row>0</xdr:row>
      <xdr:rowOff>381000</xdr:rowOff>
    </xdr:to>
    <xdr:sp macro="" textlink="">
      <xdr:nvSpPr>
        <xdr:cNvPr id="5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108585</xdr:colOff>
      <xdr:row>0</xdr:row>
      <xdr:rowOff>114300</xdr:rowOff>
    </xdr:from>
    <xdr:to>
      <xdr:col>17</xdr:col>
      <xdr:colOff>258047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5966460" y="114300"/>
          <a:ext cx="530462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73C9EBC2-E4E0-43EA-9A2E-BB65F7E0D3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323850</xdr:colOff>
      <xdr:row>0</xdr:row>
      <xdr:rowOff>676275</xdr:rowOff>
    </xdr:from>
    <xdr:to>
      <xdr:col>17</xdr:col>
      <xdr:colOff>228600</xdr:colOff>
      <xdr:row>0</xdr:row>
      <xdr:rowOff>847725</xdr:rowOff>
    </xdr:to>
    <xdr:sp macro="" textlink="">
      <xdr:nvSpPr>
        <xdr:cNvPr id="7" name="Rectangle 64"/>
        <xdr:cNvSpPr>
          <a:spLocks noChangeArrowheads="1"/>
        </xdr:cNvSpPr>
      </xdr:nvSpPr>
      <xdr:spPr bwMode="auto">
        <a:xfrm>
          <a:off x="4010025" y="676275"/>
          <a:ext cx="2457450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428625</xdr:rowOff>
    </xdr:from>
    <xdr:to>
      <xdr:col>17</xdr:col>
      <xdr:colOff>247650</xdr:colOff>
      <xdr:row>0</xdr:row>
      <xdr:rowOff>619125</xdr:rowOff>
    </xdr:to>
    <xdr:sp macro="" textlink="">
      <xdr:nvSpPr>
        <xdr:cNvPr id="8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47625</xdr:colOff>
      <xdr:row>0</xdr:row>
      <xdr:rowOff>923925</xdr:rowOff>
    </xdr:from>
    <xdr:to>
      <xdr:col>17</xdr:col>
      <xdr:colOff>238125</xdr:colOff>
      <xdr:row>0</xdr:row>
      <xdr:rowOff>1219200</xdr:rowOff>
    </xdr:to>
    <xdr:sp macro="" textlink="">
      <xdr:nvSpPr>
        <xdr:cNvPr id="9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13</xdr:col>
      <xdr:colOff>85725</xdr:colOff>
      <xdr:row>0</xdr:row>
      <xdr:rowOff>923925</xdr:rowOff>
    </xdr:from>
    <xdr:to>
      <xdr:col>15</xdr:col>
      <xdr:colOff>76200</xdr:colOff>
      <xdr:row>0</xdr:row>
      <xdr:rowOff>1219200</xdr:rowOff>
    </xdr:to>
    <xdr:sp macro="" textlink="">
      <xdr:nvSpPr>
        <xdr:cNvPr id="10" name="Rectangle 66"/>
        <xdr:cNvSpPr>
          <a:spLocks noChangeArrowheads="1"/>
        </xdr:cNvSpPr>
      </xdr:nvSpPr>
      <xdr:spPr bwMode="auto">
        <a:xfrm>
          <a:off x="4800600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923925</xdr:rowOff>
    </xdr:from>
    <xdr:to>
      <xdr:col>12</xdr:col>
      <xdr:colOff>0</xdr:colOff>
      <xdr:row>0</xdr:row>
      <xdr:rowOff>1219200</xdr:rowOff>
    </xdr:to>
    <xdr:sp macro="" textlink="">
      <xdr:nvSpPr>
        <xdr:cNvPr id="11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47625</xdr:colOff>
      <xdr:row>0</xdr:row>
      <xdr:rowOff>171450</xdr:rowOff>
    </xdr:from>
    <xdr:to>
      <xdr:col>12</xdr:col>
      <xdr:colOff>133350</xdr:colOff>
      <xdr:row>0</xdr:row>
      <xdr:rowOff>381000</xdr:rowOff>
    </xdr:to>
    <xdr:sp macro="" textlink="">
      <xdr:nvSpPr>
        <xdr:cNvPr id="12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171450</xdr:rowOff>
    </xdr:from>
    <xdr:to>
      <xdr:col>15</xdr:col>
      <xdr:colOff>342900</xdr:colOff>
      <xdr:row>0</xdr:row>
      <xdr:rowOff>381000</xdr:rowOff>
    </xdr:to>
    <xdr:sp macro="" textlink="">
      <xdr:nvSpPr>
        <xdr:cNvPr id="13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294640</xdr:colOff>
      <xdr:row>0</xdr:row>
      <xdr:rowOff>78105</xdr:rowOff>
    </xdr:from>
    <xdr:to>
      <xdr:col>15</xdr:col>
      <xdr:colOff>340391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666615" y="78105"/>
          <a:ext cx="1150651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01AFFAD-C4B5-4CD0-B30E-8891F7A344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57150</xdr:colOff>
      <xdr:row>0</xdr:row>
      <xdr:rowOff>923925</xdr:rowOff>
    </xdr:from>
    <xdr:to>
      <xdr:col>12</xdr:col>
      <xdr:colOff>228599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743325" y="923925"/>
          <a:ext cx="85724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80CAB401-0B4A-4D2B-BD97-CB5307F50E0C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13</xdr:col>
      <xdr:colOff>40166</xdr:colOff>
      <xdr:row>0</xdr:row>
      <xdr:rowOff>923925</xdr:rowOff>
    </xdr:from>
    <xdr:to>
      <xdr:col>15</xdr:col>
      <xdr:colOff>100964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755041" y="923925"/>
          <a:ext cx="82279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3AF87585-BC16-4AF9-B6AB-5F1ACE72DF7D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9</xdr:col>
      <xdr:colOff>23495</xdr:colOff>
      <xdr:row>0</xdr:row>
      <xdr:rowOff>152400</xdr:rowOff>
    </xdr:from>
    <xdr:to>
      <xdr:col>12</xdr:col>
      <xdr:colOff>135928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385820" y="152400"/>
          <a:ext cx="112208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C06DB19D-A89B-4857-ADEA-335F1AC28FB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16</xdr:col>
      <xdr:colOff>46991</xdr:colOff>
      <xdr:row>0</xdr:row>
      <xdr:rowOff>892175</xdr:rowOff>
    </xdr:from>
    <xdr:to>
      <xdr:col>17</xdr:col>
      <xdr:colOff>227656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5904866" y="892175"/>
          <a:ext cx="56166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8EDE65F1-6858-4EED-A4A7-51C2B9EE398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295275</xdr:colOff>
      <xdr:row>1</xdr:row>
      <xdr:rowOff>0</xdr:rowOff>
    </xdr:to>
    <xdr:grpSp>
      <xdr:nvGrpSpPr>
        <xdr:cNvPr id="19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20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42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21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22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253366</xdr:colOff>
      <xdr:row>0</xdr:row>
      <xdr:rowOff>412749</xdr:rowOff>
    </xdr:from>
    <xdr:to>
      <xdr:col>17</xdr:col>
      <xdr:colOff>232411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282441" y="412749"/>
          <a:ext cx="218884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A5089EA-676E-4E18-B9BD-FAA493044C8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304165</xdr:colOff>
      <xdr:row>0</xdr:row>
      <xdr:rowOff>611505</xdr:rowOff>
    </xdr:from>
    <xdr:to>
      <xdr:col>17</xdr:col>
      <xdr:colOff>222885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3990340" y="611505"/>
          <a:ext cx="247142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01F9E3B-E008-4678-BB91-AAEC12D31A5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271158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24840" y="657225"/>
          <a:ext cx="2684793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58288D9-CDB4-4FD3-AC9E-25B390F01461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142875</xdr:colOff>
      <xdr:row>0</xdr:row>
      <xdr:rowOff>1200150</xdr:rowOff>
    </xdr:to>
    <xdr:sp macro="" textlink="">
      <xdr:nvSpPr>
        <xdr:cNvPr id="398416" name="Rectangle 38"/>
        <xdr:cNvSpPr>
          <a:spLocks noChangeArrowheads="1"/>
        </xdr:cNvSpPr>
      </xdr:nvSpPr>
      <xdr:spPr bwMode="auto">
        <a:xfrm>
          <a:off x="628650" y="952500"/>
          <a:ext cx="2676525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141618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142875</xdr:colOff>
      <xdr:row>0</xdr:row>
      <xdr:rowOff>904875</xdr:rowOff>
    </xdr:to>
    <xdr:sp macro="" textlink="">
      <xdr:nvSpPr>
        <xdr:cNvPr id="398418" name="Rectangle 60"/>
        <xdr:cNvSpPr>
          <a:spLocks noChangeArrowheads="1"/>
        </xdr:cNvSpPr>
      </xdr:nvSpPr>
      <xdr:spPr bwMode="auto">
        <a:xfrm>
          <a:off x="628650" y="676275"/>
          <a:ext cx="2676525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371475</xdr:colOff>
      <xdr:row>0</xdr:row>
      <xdr:rowOff>171450</xdr:rowOff>
    </xdr:from>
    <xdr:to>
      <xdr:col>17</xdr:col>
      <xdr:colOff>123825</xdr:colOff>
      <xdr:row>0</xdr:row>
      <xdr:rowOff>381000</xdr:rowOff>
    </xdr:to>
    <xdr:sp macro="" textlink="">
      <xdr:nvSpPr>
        <xdr:cNvPr id="398419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365760</xdr:colOff>
      <xdr:row>0</xdr:row>
      <xdr:rowOff>114300</xdr:rowOff>
    </xdr:from>
    <xdr:to>
      <xdr:col>17</xdr:col>
      <xdr:colOff>137995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8202C3C-9D94-4B7B-AD3E-8F046E4684B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190500</xdr:colOff>
      <xdr:row>0</xdr:row>
      <xdr:rowOff>676275</xdr:rowOff>
    </xdr:from>
    <xdr:to>
      <xdr:col>17</xdr:col>
      <xdr:colOff>104775</xdr:colOff>
      <xdr:row>0</xdr:row>
      <xdr:rowOff>847725</xdr:rowOff>
    </xdr:to>
    <xdr:sp macro="" textlink="">
      <xdr:nvSpPr>
        <xdr:cNvPr id="398421" name="Rectangle 64"/>
        <xdr:cNvSpPr>
          <a:spLocks noChangeArrowheads="1"/>
        </xdr:cNvSpPr>
      </xdr:nvSpPr>
      <xdr:spPr bwMode="auto">
        <a:xfrm>
          <a:off x="4000500" y="676275"/>
          <a:ext cx="246697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180975</xdr:colOff>
      <xdr:row>0</xdr:row>
      <xdr:rowOff>428625</xdr:rowOff>
    </xdr:from>
    <xdr:to>
      <xdr:col>17</xdr:col>
      <xdr:colOff>123825</xdr:colOff>
      <xdr:row>0</xdr:row>
      <xdr:rowOff>619125</xdr:rowOff>
    </xdr:to>
    <xdr:sp macro="" textlink="">
      <xdr:nvSpPr>
        <xdr:cNvPr id="398422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304800</xdr:colOff>
      <xdr:row>0</xdr:row>
      <xdr:rowOff>923925</xdr:rowOff>
    </xdr:from>
    <xdr:to>
      <xdr:col>17</xdr:col>
      <xdr:colOff>114300</xdr:colOff>
      <xdr:row>0</xdr:row>
      <xdr:rowOff>1219200</xdr:rowOff>
    </xdr:to>
    <xdr:sp macro="" textlink="">
      <xdr:nvSpPr>
        <xdr:cNvPr id="398423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923925</xdr:rowOff>
    </xdr:from>
    <xdr:to>
      <xdr:col>14</xdr:col>
      <xdr:colOff>323850</xdr:colOff>
      <xdr:row>0</xdr:row>
      <xdr:rowOff>1219200</xdr:rowOff>
    </xdr:to>
    <xdr:sp macro="" textlink="">
      <xdr:nvSpPr>
        <xdr:cNvPr id="398424" name="Rectangle 66"/>
        <xdr:cNvSpPr>
          <a:spLocks noChangeArrowheads="1"/>
        </xdr:cNvSpPr>
      </xdr:nvSpPr>
      <xdr:spPr bwMode="auto">
        <a:xfrm>
          <a:off x="4791075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9525</xdr:colOff>
      <xdr:row>0</xdr:row>
      <xdr:rowOff>923925</xdr:rowOff>
    </xdr:from>
    <xdr:to>
      <xdr:col>11</xdr:col>
      <xdr:colOff>219075</xdr:colOff>
      <xdr:row>0</xdr:row>
      <xdr:rowOff>1219200</xdr:rowOff>
    </xdr:to>
    <xdr:sp macro="" textlink="">
      <xdr:nvSpPr>
        <xdr:cNvPr id="398425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247650</xdr:colOff>
      <xdr:row>0</xdr:row>
      <xdr:rowOff>171450</xdr:rowOff>
    </xdr:from>
    <xdr:to>
      <xdr:col>12</xdr:col>
      <xdr:colOff>9525</xdr:colOff>
      <xdr:row>0</xdr:row>
      <xdr:rowOff>381000</xdr:rowOff>
    </xdr:to>
    <xdr:sp macro="" textlink="">
      <xdr:nvSpPr>
        <xdr:cNvPr id="398426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171450</xdr:colOff>
      <xdr:row>0</xdr:row>
      <xdr:rowOff>171450</xdr:rowOff>
    </xdr:from>
    <xdr:to>
      <xdr:col>15</xdr:col>
      <xdr:colOff>219075</xdr:colOff>
      <xdr:row>0</xdr:row>
      <xdr:rowOff>381000</xdr:rowOff>
    </xdr:to>
    <xdr:sp macro="" textlink="">
      <xdr:nvSpPr>
        <xdr:cNvPr id="398427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155575</xdr:colOff>
      <xdr:row>0</xdr:row>
      <xdr:rowOff>78105</xdr:rowOff>
    </xdr:from>
    <xdr:to>
      <xdr:col>15</xdr:col>
      <xdr:colOff>220345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A855774-526F-4A82-8749-F8B9C3E117F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45325</xdr:colOff>
      <xdr:row>0</xdr:row>
      <xdr:rowOff>923925</xdr:rowOff>
    </xdr:from>
    <xdr:to>
      <xdr:col>12</xdr:col>
      <xdr:colOff>85724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855325" y="923925"/>
          <a:ext cx="72619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5746E1B9-F690-40EA-89D5-5AAB7840FA2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12</xdr:col>
      <xdr:colOff>261146</xdr:colOff>
      <xdr:row>0</xdr:row>
      <xdr:rowOff>923925</xdr:rowOff>
    </xdr:from>
    <xdr:to>
      <xdr:col>14</xdr:col>
      <xdr:colOff>350587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E68FFB6E-8098-4615-8757-599FC769A4F8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219710</xdr:colOff>
      <xdr:row>0</xdr:row>
      <xdr:rowOff>152400</xdr:rowOff>
    </xdr:from>
    <xdr:to>
      <xdr:col>12</xdr:col>
      <xdr:colOff>6356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0F52B1F3-B2D3-4CC5-B53F-6ACF87E14A34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304166</xdr:colOff>
      <xdr:row>0</xdr:row>
      <xdr:rowOff>892175</xdr:rowOff>
    </xdr:from>
    <xdr:to>
      <xdr:col>17</xdr:col>
      <xdr:colOff>107696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50854FA-AE5D-4982-9FB1-5E34D5C6548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171450</xdr:colOff>
      <xdr:row>1</xdr:row>
      <xdr:rowOff>0</xdr:rowOff>
    </xdr:to>
    <xdr:grpSp>
      <xdr:nvGrpSpPr>
        <xdr:cNvPr id="398433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98437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98459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98438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98439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0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1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2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3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4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5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6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7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8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9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133351</xdr:colOff>
      <xdr:row>0</xdr:row>
      <xdr:rowOff>412749</xdr:rowOff>
    </xdr:from>
    <xdr:to>
      <xdr:col>17</xdr:col>
      <xdr:colOff>112396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9DB1814-588F-42FE-BA2C-F3572871702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184150</xdr:colOff>
      <xdr:row>0</xdr:row>
      <xdr:rowOff>611505</xdr:rowOff>
    </xdr:from>
    <xdr:to>
      <xdr:col>17</xdr:col>
      <xdr:colOff>102870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4D808B4D-5A8A-40A6-80C8-B30D79101E7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141618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611FB40E-5419-40D3-BFC3-867EFB3DD567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180975</xdr:colOff>
      <xdr:row>0</xdr:row>
      <xdr:rowOff>1200150</xdr:rowOff>
    </xdr:to>
    <xdr:sp macro="" textlink="">
      <xdr:nvSpPr>
        <xdr:cNvPr id="394351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181639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180975</xdr:colOff>
      <xdr:row>0</xdr:row>
      <xdr:rowOff>904875</xdr:rowOff>
    </xdr:to>
    <xdr:sp macro="" textlink="">
      <xdr:nvSpPr>
        <xdr:cNvPr id="394353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19050</xdr:colOff>
      <xdr:row>0</xdr:row>
      <xdr:rowOff>171450</xdr:rowOff>
    </xdr:from>
    <xdr:to>
      <xdr:col>17</xdr:col>
      <xdr:colOff>152400</xdr:colOff>
      <xdr:row>0</xdr:row>
      <xdr:rowOff>381000</xdr:rowOff>
    </xdr:to>
    <xdr:sp macro="" textlink="">
      <xdr:nvSpPr>
        <xdr:cNvPr id="394354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9525</xdr:colOff>
      <xdr:row>0</xdr:row>
      <xdr:rowOff>114300</xdr:rowOff>
    </xdr:from>
    <xdr:to>
      <xdr:col>17</xdr:col>
      <xdr:colOff>158987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9B08030D-C952-4776-A041-D0717EACFA6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219075</xdr:colOff>
      <xdr:row>0</xdr:row>
      <xdr:rowOff>676275</xdr:rowOff>
    </xdr:from>
    <xdr:to>
      <xdr:col>17</xdr:col>
      <xdr:colOff>133350</xdr:colOff>
      <xdr:row>0</xdr:row>
      <xdr:rowOff>847725</xdr:rowOff>
    </xdr:to>
    <xdr:sp macro="" textlink="">
      <xdr:nvSpPr>
        <xdr:cNvPr id="394356" name="Rectangle 64"/>
        <xdr:cNvSpPr>
          <a:spLocks noChangeArrowheads="1"/>
        </xdr:cNvSpPr>
      </xdr:nvSpPr>
      <xdr:spPr bwMode="auto">
        <a:xfrm>
          <a:off x="4000500" y="676275"/>
          <a:ext cx="246697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209550</xdr:colOff>
      <xdr:row>0</xdr:row>
      <xdr:rowOff>428625</xdr:rowOff>
    </xdr:from>
    <xdr:to>
      <xdr:col>17</xdr:col>
      <xdr:colOff>152400</xdr:colOff>
      <xdr:row>0</xdr:row>
      <xdr:rowOff>619125</xdr:rowOff>
    </xdr:to>
    <xdr:sp macro="" textlink="">
      <xdr:nvSpPr>
        <xdr:cNvPr id="394357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333375</xdr:colOff>
      <xdr:row>0</xdr:row>
      <xdr:rowOff>923925</xdr:rowOff>
    </xdr:from>
    <xdr:to>
      <xdr:col>17</xdr:col>
      <xdr:colOff>142875</xdr:colOff>
      <xdr:row>0</xdr:row>
      <xdr:rowOff>1219200</xdr:rowOff>
    </xdr:to>
    <xdr:sp macro="" textlink="">
      <xdr:nvSpPr>
        <xdr:cNvPr id="394358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323850</xdr:colOff>
      <xdr:row>0</xdr:row>
      <xdr:rowOff>923925</xdr:rowOff>
    </xdr:from>
    <xdr:to>
      <xdr:col>14</xdr:col>
      <xdr:colOff>361950</xdr:colOff>
      <xdr:row>0</xdr:row>
      <xdr:rowOff>1219200</xdr:rowOff>
    </xdr:to>
    <xdr:sp macro="" textlink="">
      <xdr:nvSpPr>
        <xdr:cNvPr id="394359" name="Rectangle 66"/>
        <xdr:cNvSpPr>
          <a:spLocks noChangeArrowheads="1"/>
        </xdr:cNvSpPr>
      </xdr:nvSpPr>
      <xdr:spPr bwMode="auto">
        <a:xfrm>
          <a:off x="4791075" y="923925"/>
          <a:ext cx="7620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38100</xdr:colOff>
      <xdr:row>0</xdr:row>
      <xdr:rowOff>923925</xdr:rowOff>
    </xdr:from>
    <xdr:to>
      <xdr:col>11</xdr:col>
      <xdr:colOff>247650</xdr:colOff>
      <xdr:row>0</xdr:row>
      <xdr:rowOff>1219200</xdr:rowOff>
    </xdr:to>
    <xdr:sp macro="" textlink="">
      <xdr:nvSpPr>
        <xdr:cNvPr id="394360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276225</xdr:colOff>
      <xdr:row>0</xdr:row>
      <xdr:rowOff>171450</xdr:rowOff>
    </xdr:from>
    <xdr:to>
      <xdr:col>12</xdr:col>
      <xdr:colOff>38100</xdr:colOff>
      <xdr:row>0</xdr:row>
      <xdr:rowOff>381000</xdr:rowOff>
    </xdr:to>
    <xdr:sp macro="" textlink="">
      <xdr:nvSpPr>
        <xdr:cNvPr id="394361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200025</xdr:colOff>
      <xdr:row>0</xdr:row>
      <xdr:rowOff>171450</xdr:rowOff>
    </xdr:from>
    <xdr:to>
      <xdr:col>15</xdr:col>
      <xdr:colOff>247650</xdr:colOff>
      <xdr:row>0</xdr:row>
      <xdr:rowOff>381000</xdr:rowOff>
    </xdr:to>
    <xdr:sp macro="" textlink="">
      <xdr:nvSpPr>
        <xdr:cNvPr id="394362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186055</xdr:colOff>
      <xdr:row>0</xdr:row>
      <xdr:rowOff>78105</xdr:rowOff>
    </xdr:from>
    <xdr:to>
      <xdr:col>15</xdr:col>
      <xdr:colOff>250825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516400E6-4232-4BEC-A295-9D5E82A1665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85331</xdr:colOff>
      <xdr:row>0</xdr:row>
      <xdr:rowOff>923925</xdr:rowOff>
    </xdr:from>
    <xdr:to>
      <xdr:col>11</xdr:col>
      <xdr:colOff>275423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994391" y="923925"/>
          <a:ext cx="550130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3575003-F90E-40EB-9F9F-E03874D57DA5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12</xdr:col>
      <xdr:colOff>291626</xdr:colOff>
      <xdr:row>0</xdr:row>
      <xdr:rowOff>923925</xdr:rowOff>
    </xdr:from>
    <xdr:to>
      <xdr:col>15</xdr:col>
      <xdr:colOff>1904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D071A2EE-8E68-4FD4-B4C5-2E8C7489259F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250190</xdr:colOff>
      <xdr:row>0</xdr:row>
      <xdr:rowOff>152400</xdr:rowOff>
    </xdr:from>
    <xdr:to>
      <xdr:col>12</xdr:col>
      <xdr:colOff>36836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1EC9C58D-6A80-4C81-B5EC-0F3DC7DCC19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334646</xdr:colOff>
      <xdr:row>0</xdr:row>
      <xdr:rowOff>892175</xdr:rowOff>
    </xdr:from>
    <xdr:to>
      <xdr:col>17</xdr:col>
      <xdr:colOff>138176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9ED70DF0-5A30-412A-8257-885BE175FCD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200025</xdr:colOff>
      <xdr:row>1</xdr:row>
      <xdr:rowOff>0</xdr:rowOff>
    </xdr:to>
    <xdr:grpSp>
      <xdr:nvGrpSpPr>
        <xdr:cNvPr id="394368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94372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94394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94373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94374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5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6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7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8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9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0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1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2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3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4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154306</xdr:colOff>
      <xdr:row>0</xdr:row>
      <xdr:rowOff>412749</xdr:rowOff>
    </xdr:from>
    <xdr:to>
      <xdr:col>17</xdr:col>
      <xdr:colOff>142909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49B531ED-2354-41EA-96E2-BE33B3238A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214630</xdr:colOff>
      <xdr:row>0</xdr:row>
      <xdr:rowOff>611505</xdr:rowOff>
    </xdr:from>
    <xdr:to>
      <xdr:col>17</xdr:col>
      <xdr:colOff>133350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DAA681BD-9DA0-4A08-9260-2B03B8649BD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181639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50E12E5C-FCBE-4D06-AF54-CA8B3E4B2E4E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ll%20wang\RHXC_LOT_10\&#26729;&#25215;&#36733;&#21147;&#21450;&#37197;&#31563;&#35745;&#31639;\RHXC%20Lot10&#25239;&#21387;&#26729;&#25215;&#36733;&#21147;&#35745;&#31639;_&#19978;&#28023;&#35268;&#33539;_2015042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3258\tools\pile-1b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nts06\STR\Tracy\project\SHARuibo\&#24037;&#31243;&#26729;&#26045;&#24037;&#22270;&#35745;&#31639;\&#20914;&#20999;&#35745;&#31639;\Punching%20Shear%20Check_&#35033;&#25151;_2012031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racy\project\SHARuibo\&#24037;&#31243;&#26729;&#26045;&#24037;&#22270;&#35745;&#31639;\&#20914;&#20999;&#35745;&#31639;\Punching%20Shear%20Check_&#35033;&#25151;_201203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ll%20wang\RHXC_LOT_10\&#26729;&#25215;&#36733;&#21147;&#21450;&#37197;&#31563;&#35745;&#31639;\&#22612;&#27004;&#19982;&#35033;&#25151;&#26729;&#22522;&#37197;&#31563;&#35745;&#31639;_2012021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nts06\STR\LIVAT%20Shanghai-240736\4-11%20Foundation\&#22612;&#27004;&#19982;&#35033;&#25151;&#26729;&#22522;&#37197;&#31563;&#35745;&#31639;_201202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Notes"/>
      <sheetName val="D850(9)-T1"/>
      <sheetName val="D850(9)-T2"/>
      <sheetName val="D850(9)-Podium C7"/>
      <sheetName val="D850(9)-Podium C22"/>
      <sheetName val="D850(9)-Podium B20"/>
      <sheetName val="D850(9)-Podium C8"/>
      <sheetName val="D850(9)-Podium B6"/>
      <sheetName val="抗压桩D850-拔力"/>
      <sheetName val="D850(9)-钢筋截断处"/>
      <sheetName val="试桩D850开挖段"/>
      <sheetName val="D850锚桩-拔-T1-0.6L"/>
      <sheetName val="D850锚桩-拔-T1-0.75L"/>
    </sheetNames>
    <sheetDataSet>
      <sheetData sheetId="0">
        <row r="5">
          <cell r="F5" t="str">
            <v>上海瑞虹新城10号地块</v>
          </cell>
        </row>
        <row r="9">
          <cell r="F9" t="str">
            <v>TX</v>
          </cell>
        </row>
        <row r="11">
          <cell r="F11" t="str">
            <v/>
          </cell>
        </row>
        <row r="13">
          <cell r="F13">
            <v>42121</v>
          </cell>
        </row>
        <row r="17">
          <cell r="F17" t="str">
            <v/>
          </cell>
        </row>
        <row r="19">
          <cell r="F19" t="str">
            <v/>
          </cell>
        </row>
        <row r="21">
          <cell r="F21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zk2"/>
      <sheetName val="zk1"/>
    </sheetNames>
    <sheetDataSet>
      <sheetData sheetId="0"/>
      <sheetData sheetId="1"/>
      <sheetData sheetId="2">
        <row r="14">
          <cell r="D14">
            <v>1</v>
          </cell>
        </row>
        <row r="15">
          <cell r="G15" t="str">
            <v>土层底绝对标高</v>
          </cell>
          <cell r="H15" t="str">
            <v>土层厚</v>
          </cell>
        </row>
        <row r="16">
          <cell r="G16" t="str">
            <v>（m）</v>
          </cell>
          <cell r="H16" t="str">
            <v>Li (m)</v>
          </cell>
        </row>
        <row r="23">
          <cell r="G23">
            <v>-1.91</v>
          </cell>
        </row>
        <row r="24">
          <cell r="G24">
            <v>-5.91</v>
          </cell>
          <cell r="H24">
            <v>4</v>
          </cell>
        </row>
        <row r="25">
          <cell r="G25">
            <v>-9.31</v>
          </cell>
          <cell r="H25">
            <v>3.4000000000000004</v>
          </cell>
        </row>
        <row r="26">
          <cell r="G26">
            <v>-11.91</v>
          </cell>
          <cell r="H26">
            <v>2.5999999999999996</v>
          </cell>
        </row>
        <row r="27">
          <cell r="G27">
            <v>-12.51</v>
          </cell>
          <cell r="H27">
            <v>0.59999999999999964</v>
          </cell>
        </row>
        <row r="29">
          <cell r="D29">
            <v>2</v>
          </cell>
        </row>
        <row r="30">
          <cell r="G30" t="str">
            <v>土层底绝对标高</v>
          </cell>
          <cell r="H30" t="str">
            <v>土层厚</v>
          </cell>
        </row>
        <row r="31">
          <cell r="G31" t="str">
            <v>（m）</v>
          </cell>
          <cell r="H31" t="str">
            <v>Li (m)</v>
          </cell>
        </row>
        <row r="38">
          <cell r="G38">
            <v>-2.23</v>
          </cell>
        </row>
        <row r="39">
          <cell r="G39">
            <v>-6.23</v>
          </cell>
          <cell r="H39">
            <v>4</v>
          </cell>
        </row>
        <row r="40">
          <cell r="G40">
            <v>-11.13</v>
          </cell>
          <cell r="H40">
            <v>4.9000000000000004</v>
          </cell>
        </row>
        <row r="41">
          <cell r="G41">
            <v>-12.83</v>
          </cell>
          <cell r="H41">
            <v>1.6999999999999993</v>
          </cell>
        </row>
        <row r="42">
          <cell r="G42">
            <v>-14.43</v>
          </cell>
          <cell r="H42">
            <v>1.5999999999999996</v>
          </cell>
        </row>
        <row r="44">
          <cell r="D44">
            <v>3</v>
          </cell>
        </row>
        <row r="45">
          <cell r="G45" t="str">
            <v>土层底绝对标高</v>
          </cell>
          <cell r="H45" t="str">
            <v>土层厚</v>
          </cell>
        </row>
        <row r="46">
          <cell r="G46" t="str">
            <v>（m）</v>
          </cell>
          <cell r="H46" t="str">
            <v>Li (m)</v>
          </cell>
        </row>
        <row r="53">
          <cell r="G53">
            <v>1.04</v>
          </cell>
        </row>
        <row r="54">
          <cell r="G54">
            <v>-5.16</v>
          </cell>
          <cell r="H54">
            <v>6.2</v>
          </cell>
        </row>
        <row r="55">
          <cell r="G55">
            <v>-9.66</v>
          </cell>
          <cell r="H55">
            <v>4.5</v>
          </cell>
        </row>
        <row r="56">
          <cell r="G56">
            <v>-11.66</v>
          </cell>
          <cell r="H56">
            <v>2</v>
          </cell>
        </row>
        <row r="57">
          <cell r="G57">
            <v>-14.66</v>
          </cell>
          <cell r="H57">
            <v>3</v>
          </cell>
        </row>
        <row r="59">
          <cell r="D59">
            <v>4</v>
          </cell>
        </row>
        <row r="60">
          <cell r="G60" t="str">
            <v>土层底绝对标高</v>
          </cell>
          <cell r="H60" t="str">
            <v>土层厚</v>
          </cell>
        </row>
        <row r="61">
          <cell r="G61" t="str">
            <v>（m）</v>
          </cell>
          <cell r="H61" t="str">
            <v>Li (m)</v>
          </cell>
        </row>
        <row r="68">
          <cell r="G68">
            <v>-1.68</v>
          </cell>
        </row>
        <row r="69">
          <cell r="G69">
            <v>-6.68</v>
          </cell>
          <cell r="H69">
            <v>5</v>
          </cell>
        </row>
        <row r="70">
          <cell r="G70">
            <v>-10.78</v>
          </cell>
          <cell r="H70">
            <v>4.0999999999999996</v>
          </cell>
        </row>
        <row r="71">
          <cell r="G71">
            <v>-13.28</v>
          </cell>
          <cell r="H71">
            <v>2.5</v>
          </cell>
        </row>
        <row r="72">
          <cell r="G72">
            <v>-13.68</v>
          </cell>
          <cell r="H72">
            <v>0.40000000000000036</v>
          </cell>
        </row>
        <row r="74">
          <cell r="D74">
            <v>5</v>
          </cell>
        </row>
        <row r="75">
          <cell r="G75" t="str">
            <v>土层底绝对标高</v>
          </cell>
          <cell r="H75" t="str">
            <v>土层厚</v>
          </cell>
        </row>
        <row r="76">
          <cell r="G76" t="str">
            <v>（m）</v>
          </cell>
          <cell r="H76" t="str">
            <v>Li (m)</v>
          </cell>
        </row>
        <row r="83">
          <cell r="G83">
            <v>-0.48</v>
          </cell>
        </row>
        <row r="84">
          <cell r="G84">
            <v>-5.88</v>
          </cell>
          <cell r="H84">
            <v>5.4</v>
          </cell>
        </row>
        <row r="85">
          <cell r="G85">
            <v>-9.98</v>
          </cell>
          <cell r="H85">
            <v>4.1000000000000005</v>
          </cell>
        </row>
        <row r="86">
          <cell r="G86">
            <v>-14.68</v>
          </cell>
          <cell r="H86">
            <v>4.6999999999999993</v>
          </cell>
        </row>
        <row r="87">
          <cell r="G87">
            <v>-15.38</v>
          </cell>
          <cell r="H87">
            <v>0.70000000000000107</v>
          </cell>
        </row>
        <row r="89">
          <cell r="D89">
            <v>6</v>
          </cell>
        </row>
        <row r="90">
          <cell r="G90" t="str">
            <v>土层底绝对标高</v>
          </cell>
          <cell r="H90" t="str">
            <v>土层厚</v>
          </cell>
        </row>
        <row r="91">
          <cell r="G91" t="str">
            <v>（m）</v>
          </cell>
          <cell r="H91" t="str">
            <v>Li (m)</v>
          </cell>
        </row>
        <row r="98">
          <cell r="G98">
            <v>0.11</v>
          </cell>
        </row>
        <row r="99">
          <cell r="G99">
            <v>-6.09</v>
          </cell>
          <cell r="H99">
            <v>6.2</v>
          </cell>
        </row>
        <row r="100">
          <cell r="G100">
            <v>-10.29</v>
          </cell>
          <cell r="H100">
            <v>4.1999999999999993</v>
          </cell>
        </row>
        <row r="101">
          <cell r="G101">
            <v>-14.69</v>
          </cell>
          <cell r="H101">
            <v>4.4000000000000004</v>
          </cell>
        </row>
        <row r="102">
          <cell r="G102">
            <v>-14.99</v>
          </cell>
          <cell r="H102">
            <v>0.30000000000000071</v>
          </cell>
        </row>
        <row r="104">
          <cell r="D104">
            <v>7</v>
          </cell>
        </row>
        <row r="105">
          <cell r="G105" t="str">
            <v>土层底绝对标高</v>
          </cell>
          <cell r="H105" t="str">
            <v>土层厚</v>
          </cell>
        </row>
        <row r="106">
          <cell r="G106" t="str">
            <v>（m）</v>
          </cell>
          <cell r="H106" t="str">
            <v>Li (m)</v>
          </cell>
        </row>
        <row r="113">
          <cell r="G113">
            <v>0.09</v>
          </cell>
        </row>
        <row r="114">
          <cell r="G114">
            <v>-6.91</v>
          </cell>
          <cell r="H114">
            <v>7</v>
          </cell>
        </row>
        <row r="115">
          <cell r="G115">
            <v>-10.91</v>
          </cell>
          <cell r="H115">
            <v>4</v>
          </cell>
        </row>
        <row r="116">
          <cell r="G116">
            <v>-14.21</v>
          </cell>
          <cell r="H116">
            <v>3.3000000000000007</v>
          </cell>
        </row>
        <row r="117">
          <cell r="G117">
            <v>-14.71</v>
          </cell>
          <cell r="H117">
            <v>0.5</v>
          </cell>
        </row>
        <row r="119">
          <cell r="D119">
            <v>8</v>
          </cell>
        </row>
        <row r="120">
          <cell r="G120" t="str">
            <v>土层底绝对标高</v>
          </cell>
          <cell r="H120" t="str">
            <v>土层厚</v>
          </cell>
        </row>
        <row r="121">
          <cell r="G121" t="str">
            <v>（m）</v>
          </cell>
          <cell r="H121" t="str">
            <v>Li (m)</v>
          </cell>
        </row>
        <row r="126">
          <cell r="G126">
            <v>0.03</v>
          </cell>
        </row>
        <row r="129">
          <cell r="G129">
            <v>-6.87</v>
          </cell>
          <cell r="H129">
            <v>6.9</v>
          </cell>
        </row>
        <row r="130">
          <cell r="G130">
            <v>-11.37</v>
          </cell>
          <cell r="H130">
            <v>4.4999999999999991</v>
          </cell>
        </row>
        <row r="131">
          <cell r="G131">
            <v>-13.57</v>
          </cell>
          <cell r="H131">
            <v>2.2000000000000011</v>
          </cell>
        </row>
        <row r="132">
          <cell r="G132">
            <v>-14.17</v>
          </cell>
          <cell r="H132">
            <v>0.59999999999999964</v>
          </cell>
        </row>
        <row r="134">
          <cell r="D134">
            <v>9</v>
          </cell>
        </row>
        <row r="135">
          <cell r="G135" t="str">
            <v>土层底绝对标高</v>
          </cell>
          <cell r="H135" t="str">
            <v>土层厚</v>
          </cell>
        </row>
        <row r="136">
          <cell r="G136" t="str">
            <v>（m）</v>
          </cell>
          <cell r="H136" t="str">
            <v>Li (m)</v>
          </cell>
        </row>
        <row r="141">
          <cell r="G141">
            <v>0.48</v>
          </cell>
        </row>
        <row r="144">
          <cell r="G144">
            <v>-5.82</v>
          </cell>
          <cell r="H144">
            <v>6.3000000000000007</v>
          </cell>
        </row>
        <row r="145">
          <cell r="G145">
            <v>-10.52</v>
          </cell>
          <cell r="H145">
            <v>4.6999999999999993</v>
          </cell>
        </row>
        <row r="146">
          <cell r="G146">
            <v>-15.02</v>
          </cell>
          <cell r="H146">
            <v>4.5</v>
          </cell>
        </row>
        <row r="147">
          <cell r="G147">
            <v>-15.62</v>
          </cell>
          <cell r="H147">
            <v>0.59999999999999964</v>
          </cell>
        </row>
        <row r="149">
          <cell r="D149">
            <v>10</v>
          </cell>
        </row>
        <row r="150">
          <cell r="G150" t="str">
            <v>土层底绝对标高</v>
          </cell>
          <cell r="H150" t="str">
            <v>土层厚</v>
          </cell>
        </row>
        <row r="151">
          <cell r="G151" t="str">
            <v>（m）</v>
          </cell>
          <cell r="H151" t="str">
            <v>Li (m)</v>
          </cell>
        </row>
        <row r="156">
          <cell r="G156">
            <v>0.18</v>
          </cell>
        </row>
        <row r="159">
          <cell r="G159">
            <v>-7.42</v>
          </cell>
          <cell r="H159">
            <v>7.6</v>
          </cell>
        </row>
        <row r="160">
          <cell r="G160">
            <v>-10.62</v>
          </cell>
          <cell r="H160">
            <v>3.1999999999999993</v>
          </cell>
        </row>
        <row r="161">
          <cell r="G161">
            <v>-13.02</v>
          </cell>
          <cell r="H161">
            <v>2.4000000000000004</v>
          </cell>
        </row>
        <row r="162">
          <cell r="G162">
            <v>-13.82</v>
          </cell>
          <cell r="H162">
            <v>0.80000000000000071</v>
          </cell>
        </row>
        <row r="164">
          <cell r="D164">
            <v>11</v>
          </cell>
        </row>
        <row r="165">
          <cell r="G165" t="str">
            <v>土层底绝对标高</v>
          </cell>
          <cell r="H165" t="str">
            <v>土层厚</v>
          </cell>
        </row>
        <row r="166">
          <cell r="G166" t="str">
            <v>（m）</v>
          </cell>
          <cell r="H166" t="str">
            <v>Li (m)</v>
          </cell>
        </row>
        <row r="173">
          <cell r="G173">
            <v>-1.56</v>
          </cell>
        </row>
        <row r="174">
          <cell r="G174">
            <v>-6.36</v>
          </cell>
          <cell r="H174">
            <v>4.8000000000000007</v>
          </cell>
        </row>
        <row r="175">
          <cell r="G175">
            <v>-8.9600000000000009</v>
          </cell>
          <cell r="H175">
            <v>2.6000000000000005</v>
          </cell>
        </row>
        <row r="176">
          <cell r="G176">
            <v>-11.16</v>
          </cell>
          <cell r="H176">
            <v>2.1999999999999993</v>
          </cell>
        </row>
        <row r="177">
          <cell r="G177">
            <v>-11.66</v>
          </cell>
          <cell r="H177">
            <v>0.5</v>
          </cell>
        </row>
        <row r="179">
          <cell r="D179">
            <v>12</v>
          </cell>
        </row>
        <row r="180">
          <cell r="G180" t="str">
            <v>土层底绝对标高</v>
          </cell>
          <cell r="H180" t="str">
            <v>土层厚</v>
          </cell>
        </row>
        <row r="181">
          <cell r="G181" t="str">
            <v>（m）</v>
          </cell>
          <cell r="H181" t="str">
            <v>Li (m)</v>
          </cell>
        </row>
        <row r="188">
          <cell r="G188">
            <v>-1.74</v>
          </cell>
        </row>
        <row r="189">
          <cell r="G189">
            <v>-6.14</v>
          </cell>
          <cell r="H189">
            <v>4.3999999999999995</v>
          </cell>
        </row>
        <row r="190">
          <cell r="G190">
            <v>-8.74</v>
          </cell>
          <cell r="H190">
            <v>2.6000000000000005</v>
          </cell>
        </row>
        <row r="191">
          <cell r="G191">
            <v>-10.64</v>
          </cell>
          <cell r="H191">
            <v>1.9000000000000004</v>
          </cell>
        </row>
        <row r="192">
          <cell r="G192">
            <v>-11.44</v>
          </cell>
          <cell r="H192">
            <v>0.79999999999999893</v>
          </cell>
        </row>
        <row r="194">
          <cell r="D194">
            <v>13</v>
          </cell>
        </row>
        <row r="195">
          <cell r="G195" t="str">
            <v>土层底绝对标高</v>
          </cell>
          <cell r="H195" t="str">
            <v>土层厚</v>
          </cell>
        </row>
        <row r="196">
          <cell r="G196" t="str">
            <v>（m）</v>
          </cell>
          <cell r="H196" t="str">
            <v>Li (m)</v>
          </cell>
        </row>
        <row r="203">
          <cell r="G203">
            <v>-2.67</v>
          </cell>
        </row>
        <row r="204">
          <cell r="G204">
            <v>-5.67</v>
          </cell>
          <cell r="H204">
            <v>3</v>
          </cell>
        </row>
        <row r="205">
          <cell r="G205">
            <v>-10.47</v>
          </cell>
          <cell r="H205">
            <v>4.8000000000000007</v>
          </cell>
        </row>
        <row r="206">
          <cell r="G206">
            <v>-12.07</v>
          </cell>
          <cell r="H206">
            <v>1.5999999999999996</v>
          </cell>
        </row>
        <row r="207">
          <cell r="G207">
            <v>-13.07</v>
          </cell>
          <cell r="H207">
            <v>1</v>
          </cell>
        </row>
        <row r="209">
          <cell r="D209">
            <v>14</v>
          </cell>
        </row>
        <row r="210">
          <cell r="G210" t="str">
            <v>土层底绝对标高</v>
          </cell>
          <cell r="H210" t="str">
            <v>土层厚</v>
          </cell>
        </row>
        <row r="211">
          <cell r="G211" t="str">
            <v>（m）</v>
          </cell>
          <cell r="H211" t="str">
            <v>Li (m)</v>
          </cell>
        </row>
        <row r="218">
          <cell r="G218">
            <v>-0.79</v>
          </cell>
        </row>
        <row r="219">
          <cell r="G219">
            <v>-4.8899999999999997</v>
          </cell>
          <cell r="H219">
            <v>4.0999999999999996</v>
          </cell>
        </row>
        <row r="220">
          <cell r="G220">
            <v>-8.69</v>
          </cell>
          <cell r="H220">
            <v>3.8</v>
          </cell>
        </row>
        <row r="221">
          <cell r="G221">
            <v>-12.29</v>
          </cell>
          <cell r="H221">
            <v>3.5999999999999996</v>
          </cell>
        </row>
        <row r="222">
          <cell r="G222">
            <v>-13.29</v>
          </cell>
          <cell r="H222">
            <v>1</v>
          </cell>
        </row>
        <row r="224">
          <cell r="D224">
            <v>15</v>
          </cell>
        </row>
        <row r="225">
          <cell r="G225" t="str">
            <v>土层底绝对标高</v>
          </cell>
          <cell r="H225" t="str">
            <v>土层厚</v>
          </cell>
        </row>
        <row r="226">
          <cell r="G226" t="str">
            <v>（m）</v>
          </cell>
          <cell r="H226" t="str">
            <v>Li (m)</v>
          </cell>
        </row>
        <row r="233">
          <cell r="G233">
            <v>-0.65</v>
          </cell>
        </row>
        <row r="234">
          <cell r="G234">
            <v>-5.25</v>
          </cell>
          <cell r="H234">
            <v>4.5999999999999996</v>
          </cell>
        </row>
        <row r="235">
          <cell r="G235">
            <v>-9.0500000000000007</v>
          </cell>
          <cell r="H235">
            <v>3.8000000000000007</v>
          </cell>
        </row>
        <row r="236">
          <cell r="G236">
            <v>-12.25</v>
          </cell>
          <cell r="H236">
            <v>3.1999999999999993</v>
          </cell>
        </row>
        <row r="237">
          <cell r="G237">
            <v>-13.85</v>
          </cell>
          <cell r="H237">
            <v>1.5999999999999996</v>
          </cell>
        </row>
        <row r="239">
          <cell r="D239">
            <v>16</v>
          </cell>
        </row>
        <row r="240">
          <cell r="G240" t="str">
            <v>土层底绝对标高</v>
          </cell>
          <cell r="H240" t="str">
            <v>土层厚</v>
          </cell>
        </row>
        <row r="241">
          <cell r="G241" t="str">
            <v>（m）</v>
          </cell>
          <cell r="H241" t="str">
            <v>Li (m)</v>
          </cell>
        </row>
        <row r="248">
          <cell r="G248">
            <v>-0.19</v>
          </cell>
        </row>
        <row r="249">
          <cell r="G249">
            <v>-7.79</v>
          </cell>
          <cell r="H249">
            <v>7.6</v>
          </cell>
        </row>
        <row r="250">
          <cell r="G250">
            <v>-12.19</v>
          </cell>
          <cell r="H250">
            <v>4.3999999999999995</v>
          </cell>
        </row>
        <row r="251">
          <cell r="G251">
            <v>-14.69</v>
          </cell>
          <cell r="H251">
            <v>2.5</v>
          </cell>
        </row>
        <row r="252">
          <cell r="G252">
            <v>-15.19</v>
          </cell>
          <cell r="H252">
            <v>0.5</v>
          </cell>
        </row>
        <row r="254">
          <cell r="D254">
            <v>17</v>
          </cell>
        </row>
        <row r="255">
          <cell r="G255" t="str">
            <v>土层底绝对标高</v>
          </cell>
          <cell r="H255" t="str">
            <v>土层厚</v>
          </cell>
        </row>
        <row r="256">
          <cell r="G256" t="str">
            <v>（m）</v>
          </cell>
          <cell r="H256" t="str">
            <v>Li (m)</v>
          </cell>
        </row>
        <row r="263">
          <cell r="G263">
            <v>0.38</v>
          </cell>
        </row>
        <row r="264">
          <cell r="G264">
            <v>-5.72</v>
          </cell>
          <cell r="H264">
            <v>6.1</v>
          </cell>
        </row>
        <row r="265">
          <cell r="G265">
            <v>-9.32</v>
          </cell>
          <cell r="H265">
            <v>3.6000000000000005</v>
          </cell>
        </row>
        <row r="266">
          <cell r="G266">
            <v>-9.82</v>
          </cell>
          <cell r="H266">
            <v>0.5</v>
          </cell>
        </row>
        <row r="267">
          <cell r="G267">
            <v>-10.82</v>
          </cell>
          <cell r="H267">
            <v>1</v>
          </cell>
        </row>
        <row r="269">
          <cell r="D269">
            <v>18</v>
          </cell>
        </row>
        <row r="270">
          <cell r="G270" t="str">
            <v>土层底绝对标高</v>
          </cell>
          <cell r="H270" t="str">
            <v>土层厚</v>
          </cell>
        </row>
        <row r="271">
          <cell r="G271" t="str">
            <v>（m）</v>
          </cell>
          <cell r="H271" t="str">
            <v>Li (m)</v>
          </cell>
        </row>
        <row r="278">
          <cell r="G278">
            <v>0.89</v>
          </cell>
        </row>
        <row r="279">
          <cell r="G279">
            <v>-7.21</v>
          </cell>
          <cell r="H279">
            <v>8.1</v>
          </cell>
        </row>
        <row r="280">
          <cell r="G280">
            <v>-9.91</v>
          </cell>
          <cell r="H280">
            <v>2.7</v>
          </cell>
        </row>
        <row r="281">
          <cell r="G281">
            <v>-10.91</v>
          </cell>
          <cell r="H281">
            <v>1</v>
          </cell>
        </row>
        <row r="282">
          <cell r="G282">
            <v>-11.41</v>
          </cell>
          <cell r="H282">
            <v>0.5</v>
          </cell>
        </row>
        <row r="284">
          <cell r="D284">
            <v>19</v>
          </cell>
        </row>
        <row r="285">
          <cell r="G285" t="str">
            <v>土层底绝对标高</v>
          </cell>
          <cell r="H285" t="str">
            <v>土层厚</v>
          </cell>
        </row>
        <row r="286">
          <cell r="G286" t="str">
            <v>（m）</v>
          </cell>
          <cell r="H286" t="str">
            <v>Li (m)</v>
          </cell>
        </row>
        <row r="293">
          <cell r="G293">
            <v>-0.15</v>
          </cell>
        </row>
        <row r="294">
          <cell r="G294">
            <v>-6.05</v>
          </cell>
          <cell r="H294">
            <v>5.8999999999999995</v>
          </cell>
        </row>
        <row r="295">
          <cell r="G295">
            <v>-9.85</v>
          </cell>
          <cell r="H295">
            <v>3.8</v>
          </cell>
        </row>
        <row r="296">
          <cell r="G296">
            <v>-11.45</v>
          </cell>
          <cell r="H296">
            <v>1.5999999999999996</v>
          </cell>
        </row>
        <row r="297">
          <cell r="G297">
            <v>-12.35</v>
          </cell>
          <cell r="H297">
            <v>0.90000000000000036</v>
          </cell>
        </row>
        <row r="299">
          <cell r="D299">
            <v>20</v>
          </cell>
        </row>
        <row r="300">
          <cell r="G300" t="str">
            <v>土层底绝对标高</v>
          </cell>
          <cell r="H300" t="str">
            <v>土层厚</v>
          </cell>
        </row>
        <row r="301">
          <cell r="G301" t="str">
            <v>（m）</v>
          </cell>
          <cell r="H301" t="str">
            <v>Li (m)</v>
          </cell>
        </row>
        <row r="308">
          <cell r="G308">
            <v>0.09</v>
          </cell>
        </row>
        <row r="309">
          <cell r="G309">
            <v>-7.11</v>
          </cell>
          <cell r="H309">
            <v>7.2</v>
          </cell>
        </row>
        <row r="310">
          <cell r="G310">
            <v>-14.31</v>
          </cell>
          <cell r="H310">
            <v>7.2</v>
          </cell>
        </row>
        <row r="311">
          <cell r="G311">
            <v>-16.010000000000002</v>
          </cell>
          <cell r="H311">
            <v>1.7000000000000011</v>
          </cell>
        </row>
        <row r="312">
          <cell r="G312">
            <v>-16.61</v>
          </cell>
          <cell r="H312">
            <v>0.59999999999999787</v>
          </cell>
        </row>
        <row r="314">
          <cell r="D314">
            <v>21</v>
          </cell>
        </row>
        <row r="315">
          <cell r="G315" t="str">
            <v>土层底绝对标高</v>
          </cell>
          <cell r="H315" t="str">
            <v>土层厚</v>
          </cell>
        </row>
        <row r="316">
          <cell r="G316" t="str">
            <v>（m）</v>
          </cell>
          <cell r="H316" t="str">
            <v>Li (m)</v>
          </cell>
        </row>
        <row r="321">
          <cell r="G321">
            <v>0.47</v>
          </cell>
        </row>
        <row r="324">
          <cell r="G324">
            <v>-6.83</v>
          </cell>
          <cell r="H324">
            <v>7.3</v>
          </cell>
        </row>
        <row r="325">
          <cell r="G325">
            <v>-11.33</v>
          </cell>
          <cell r="H325">
            <v>4.5</v>
          </cell>
        </row>
        <row r="326">
          <cell r="G326">
            <v>-14.33</v>
          </cell>
          <cell r="H326">
            <v>3</v>
          </cell>
        </row>
        <row r="327">
          <cell r="G327">
            <v>-14.73</v>
          </cell>
          <cell r="H327">
            <v>0.40000000000000036</v>
          </cell>
        </row>
        <row r="329">
          <cell r="D329">
            <v>22</v>
          </cell>
        </row>
        <row r="330">
          <cell r="G330" t="str">
            <v>土层底绝对标高</v>
          </cell>
          <cell r="H330" t="str">
            <v>土层厚</v>
          </cell>
        </row>
        <row r="331">
          <cell r="G331" t="str">
            <v>（m）</v>
          </cell>
          <cell r="H331" t="str">
            <v>Li (m)</v>
          </cell>
        </row>
        <row r="338">
          <cell r="G338">
            <v>-2.48</v>
          </cell>
        </row>
        <row r="339">
          <cell r="G339">
            <v>-4.88</v>
          </cell>
          <cell r="H339">
            <v>2.4</v>
          </cell>
        </row>
        <row r="340">
          <cell r="G340">
            <v>-5.98</v>
          </cell>
          <cell r="H340">
            <v>1.1000000000000005</v>
          </cell>
        </row>
        <row r="341">
          <cell r="G341">
            <v>-7.18</v>
          </cell>
          <cell r="H341">
            <v>1.1999999999999993</v>
          </cell>
        </row>
        <row r="342">
          <cell r="G342">
            <v>-8.98</v>
          </cell>
          <cell r="H342">
            <v>1.8000000000000007</v>
          </cell>
        </row>
        <row r="344">
          <cell r="D344">
            <v>23</v>
          </cell>
        </row>
        <row r="345">
          <cell r="G345" t="str">
            <v>土层底绝对标高</v>
          </cell>
          <cell r="H345" t="str">
            <v>土层厚</v>
          </cell>
        </row>
        <row r="346">
          <cell r="G346" t="str">
            <v>（m）</v>
          </cell>
          <cell r="H346" t="str">
            <v>Li (m)</v>
          </cell>
        </row>
        <row r="353">
          <cell r="G353">
            <v>-1.34</v>
          </cell>
        </row>
        <row r="354">
          <cell r="G354">
            <v>-5.74</v>
          </cell>
          <cell r="H354">
            <v>4.4000000000000004</v>
          </cell>
        </row>
        <row r="355">
          <cell r="G355">
            <v>-9.64</v>
          </cell>
          <cell r="H355">
            <v>3.9000000000000004</v>
          </cell>
        </row>
        <row r="356">
          <cell r="G356">
            <v>-11.94</v>
          </cell>
          <cell r="H356">
            <v>2.2999999999999989</v>
          </cell>
        </row>
        <row r="357">
          <cell r="G357">
            <v>-12.54</v>
          </cell>
          <cell r="H357">
            <v>0.59999999999999964</v>
          </cell>
        </row>
        <row r="359">
          <cell r="D359">
            <v>24</v>
          </cell>
        </row>
        <row r="360">
          <cell r="G360" t="str">
            <v>土层底绝对标高</v>
          </cell>
          <cell r="H360" t="str">
            <v>土层厚</v>
          </cell>
        </row>
        <row r="361">
          <cell r="G361" t="str">
            <v>（m）</v>
          </cell>
          <cell r="H361" t="str">
            <v>Li (m)</v>
          </cell>
        </row>
        <row r="368">
          <cell r="G368">
            <v>-1.45</v>
          </cell>
        </row>
        <row r="369">
          <cell r="G369">
            <v>-6.05</v>
          </cell>
          <cell r="H369">
            <v>4.5999999999999996</v>
          </cell>
        </row>
        <row r="370">
          <cell r="G370">
            <v>-10.45</v>
          </cell>
          <cell r="H370">
            <v>4.3999999999999995</v>
          </cell>
        </row>
        <row r="371">
          <cell r="G371">
            <v>-11.65</v>
          </cell>
          <cell r="H371">
            <v>1.2000000000000011</v>
          </cell>
        </row>
        <row r="372">
          <cell r="G372">
            <v>-12.35</v>
          </cell>
          <cell r="H372">
            <v>0.69999999999999929</v>
          </cell>
        </row>
        <row r="374">
          <cell r="D374">
            <v>25</v>
          </cell>
        </row>
        <row r="375">
          <cell r="G375" t="str">
            <v>土层底绝对标高</v>
          </cell>
          <cell r="H375" t="str">
            <v>土层厚</v>
          </cell>
        </row>
        <row r="376">
          <cell r="G376" t="str">
            <v>（m）</v>
          </cell>
          <cell r="H376" t="str">
            <v>Li (m)</v>
          </cell>
        </row>
        <row r="383">
          <cell r="G383">
            <v>-2.1</v>
          </cell>
        </row>
        <row r="384">
          <cell r="G384">
            <v>-5.0999999999999996</v>
          </cell>
          <cell r="H384">
            <v>2.9999999999999996</v>
          </cell>
        </row>
        <row r="385">
          <cell r="G385">
            <v>-7.7</v>
          </cell>
          <cell r="H385">
            <v>2.6000000000000005</v>
          </cell>
        </row>
        <row r="386">
          <cell r="G386">
            <v>-8.5</v>
          </cell>
          <cell r="H386">
            <v>0.79999999999999982</v>
          </cell>
        </row>
        <row r="387">
          <cell r="G387">
            <v>-9</v>
          </cell>
          <cell r="H387">
            <v>0.5</v>
          </cell>
        </row>
        <row r="389">
          <cell r="D389">
            <v>26</v>
          </cell>
        </row>
        <row r="390">
          <cell r="G390" t="str">
            <v>土层底绝对标高</v>
          </cell>
          <cell r="H390" t="str">
            <v>土层厚</v>
          </cell>
        </row>
        <row r="391">
          <cell r="G391" t="str">
            <v>（m）</v>
          </cell>
          <cell r="H391" t="str">
            <v>Li (m)</v>
          </cell>
        </row>
        <row r="398">
          <cell r="G398">
            <v>-1.33</v>
          </cell>
        </row>
        <row r="399">
          <cell r="G399">
            <v>-5.53</v>
          </cell>
          <cell r="H399">
            <v>4.2</v>
          </cell>
        </row>
        <row r="400">
          <cell r="G400">
            <v>-10.83</v>
          </cell>
          <cell r="H400">
            <v>5.3</v>
          </cell>
        </row>
        <row r="401">
          <cell r="G401">
            <v>-15.03</v>
          </cell>
          <cell r="H401">
            <v>4.1999999999999993</v>
          </cell>
        </row>
        <row r="402">
          <cell r="G402">
            <v>-15.53</v>
          </cell>
          <cell r="H402">
            <v>0.5</v>
          </cell>
        </row>
        <row r="404">
          <cell r="D404">
            <v>27</v>
          </cell>
        </row>
        <row r="405">
          <cell r="G405" t="str">
            <v>土层底绝对标高</v>
          </cell>
          <cell r="H405" t="str">
            <v>土层厚</v>
          </cell>
        </row>
        <row r="406">
          <cell r="G406" t="str">
            <v>（m）</v>
          </cell>
          <cell r="H406" t="str">
            <v>Li (m)</v>
          </cell>
        </row>
        <row r="413">
          <cell r="G413">
            <v>-0.7</v>
          </cell>
        </row>
        <row r="414">
          <cell r="G414">
            <v>-7.1</v>
          </cell>
          <cell r="H414">
            <v>6.3999999999999995</v>
          </cell>
        </row>
        <row r="415">
          <cell r="G415">
            <v>-10.3</v>
          </cell>
          <cell r="H415">
            <v>3.2000000000000011</v>
          </cell>
        </row>
        <row r="416">
          <cell r="G416">
            <v>-16.100000000000001</v>
          </cell>
          <cell r="H416">
            <v>5.8000000000000007</v>
          </cell>
        </row>
        <row r="417">
          <cell r="G417">
            <v>-16.899999999999999</v>
          </cell>
          <cell r="H417">
            <v>0.79999999999999716</v>
          </cell>
        </row>
        <row r="419">
          <cell r="D419">
            <v>28</v>
          </cell>
        </row>
        <row r="420">
          <cell r="G420" t="str">
            <v>土层底绝对标高</v>
          </cell>
          <cell r="H420" t="str">
            <v>土层厚</v>
          </cell>
        </row>
        <row r="421">
          <cell r="G421" t="str">
            <v>（m）</v>
          </cell>
          <cell r="H421" t="str">
            <v>Li (m)</v>
          </cell>
        </row>
        <row r="428">
          <cell r="G428">
            <v>-0.09</v>
          </cell>
        </row>
        <row r="429">
          <cell r="G429">
            <v>-8.19</v>
          </cell>
          <cell r="H429">
            <v>8.1</v>
          </cell>
        </row>
        <row r="430">
          <cell r="G430">
            <v>-13.09</v>
          </cell>
          <cell r="H430">
            <v>4.9000000000000004</v>
          </cell>
        </row>
        <row r="431">
          <cell r="G431">
            <v>-16.489999999999998</v>
          </cell>
          <cell r="H431">
            <v>3.3999999999999986</v>
          </cell>
        </row>
        <row r="432">
          <cell r="G432">
            <v>-16.989999999999998</v>
          </cell>
          <cell r="H432">
            <v>0.5</v>
          </cell>
        </row>
        <row r="434">
          <cell r="D434">
            <v>29</v>
          </cell>
        </row>
        <row r="435">
          <cell r="G435" t="str">
            <v>土层底绝对标高</v>
          </cell>
          <cell r="H435" t="str">
            <v>土层厚</v>
          </cell>
        </row>
        <row r="436">
          <cell r="G436" t="str">
            <v>（m）</v>
          </cell>
          <cell r="H436" t="str">
            <v>Li (m)</v>
          </cell>
        </row>
        <row r="443">
          <cell r="G443">
            <v>0.97</v>
          </cell>
        </row>
        <row r="444">
          <cell r="G444">
            <v>-8.0299999999999994</v>
          </cell>
          <cell r="H444">
            <v>9</v>
          </cell>
        </row>
        <row r="445">
          <cell r="G445">
            <v>-10.53</v>
          </cell>
          <cell r="H445">
            <v>2.5</v>
          </cell>
        </row>
        <row r="446">
          <cell r="G446">
            <v>-13.53</v>
          </cell>
          <cell r="H446">
            <v>3</v>
          </cell>
        </row>
        <row r="447">
          <cell r="G447">
            <v>-14.63</v>
          </cell>
          <cell r="H447">
            <v>1.1000000000000014</v>
          </cell>
        </row>
        <row r="449">
          <cell r="D449">
            <v>30</v>
          </cell>
        </row>
        <row r="450">
          <cell r="G450" t="str">
            <v>土层底绝对标高</v>
          </cell>
          <cell r="H450" t="str">
            <v>土层厚</v>
          </cell>
        </row>
        <row r="451">
          <cell r="G451" t="str">
            <v>（m）</v>
          </cell>
          <cell r="H451" t="str">
            <v>Li (m)</v>
          </cell>
        </row>
        <row r="458">
          <cell r="G458">
            <v>1.26</v>
          </cell>
        </row>
        <row r="459">
          <cell r="G459">
            <v>-6.64</v>
          </cell>
          <cell r="H459">
            <v>7.8999999999999995</v>
          </cell>
        </row>
        <row r="460">
          <cell r="G460">
            <v>-10.14</v>
          </cell>
          <cell r="H460">
            <v>3.5000000000000009</v>
          </cell>
        </row>
        <row r="461">
          <cell r="G461">
            <v>-12.84</v>
          </cell>
          <cell r="H461">
            <v>2.6999999999999993</v>
          </cell>
        </row>
        <row r="462">
          <cell r="G462">
            <v>-15.04</v>
          </cell>
          <cell r="H462">
            <v>2.1999999999999993</v>
          </cell>
        </row>
        <row r="464">
          <cell r="D464">
            <v>31</v>
          </cell>
        </row>
        <row r="465">
          <cell r="G465" t="str">
            <v>土层底绝对标高</v>
          </cell>
          <cell r="H465" t="str">
            <v>土层厚</v>
          </cell>
        </row>
        <row r="466">
          <cell r="G466" t="str">
            <v>（m）</v>
          </cell>
          <cell r="H466" t="str">
            <v>Li (m)</v>
          </cell>
        </row>
        <row r="473">
          <cell r="G473">
            <v>0.75</v>
          </cell>
        </row>
        <row r="474">
          <cell r="G474">
            <v>-6.95</v>
          </cell>
          <cell r="H474">
            <v>7.7</v>
          </cell>
        </row>
        <row r="475">
          <cell r="G475">
            <v>-12.25</v>
          </cell>
          <cell r="H475">
            <v>5.3</v>
          </cell>
        </row>
        <row r="476">
          <cell r="G476">
            <v>-14.45</v>
          </cell>
          <cell r="H476">
            <v>2.1999999999999993</v>
          </cell>
        </row>
        <row r="477">
          <cell r="G477">
            <v>-15.05</v>
          </cell>
          <cell r="H477">
            <v>0.60000000000000142</v>
          </cell>
        </row>
        <row r="479">
          <cell r="D479">
            <v>32</v>
          </cell>
        </row>
        <row r="480">
          <cell r="G480" t="str">
            <v>土层底绝对标高</v>
          </cell>
          <cell r="H480" t="str">
            <v>土层厚</v>
          </cell>
        </row>
        <row r="481">
          <cell r="G481" t="str">
            <v>（m）</v>
          </cell>
          <cell r="H481" t="str">
            <v>Li (m)</v>
          </cell>
        </row>
        <row r="486">
          <cell r="G486">
            <v>0.02</v>
          </cell>
        </row>
        <row r="489">
          <cell r="G489">
            <v>-7.68</v>
          </cell>
          <cell r="H489">
            <v>7.6999999999999993</v>
          </cell>
        </row>
        <row r="490">
          <cell r="G490">
            <v>-15.78</v>
          </cell>
          <cell r="H490">
            <v>8.1</v>
          </cell>
        </row>
        <row r="491">
          <cell r="G491">
            <v>-18.98</v>
          </cell>
          <cell r="H491">
            <v>3.2000000000000011</v>
          </cell>
        </row>
        <row r="492">
          <cell r="G492">
            <v>-19.98</v>
          </cell>
          <cell r="H492">
            <v>1</v>
          </cell>
        </row>
        <row r="494">
          <cell r="D494">
            <v>33</v>
          </cell>
        </row>
        <row r="495">
          <cell r="G495" t="str">
            <v>土层底绝对标高</v>
          </cell>
          <cell r="H495" t="str">
            <v>土层厚</v>
          </cell>
        </row>
        <row r="496">
          <cell r="G496" t="str">
            <v>（m）</v>
          </cell>
          <cell r="H496" t="str">
            <v>Li (m)</v>
          </cell>
        </row>
        <row r="503">
          <cell r="G503">
            <v>-1.51</v>
          </cell>
        </row>
        <row r="504">
          <cell r="G504">
            <v>-7.21</v>
          </cell>
          <cell r="H504">
            <v>5.7</v>
          </cell>
        </row>
        <row r="505">
          <cell r="G505">
            <v>-9.2100000000000009</v>
          </cell>
          <cell r="H505">
            <v>2.0000000000000009</v>
          </cell>
        </row>
        <row r="506">
          <cell r="G506">
            <v>-9.7100000000000009</v>
          </cell>
          <cell r="H506">
            <v>0.5</v>
          </cell>
        </row>
        <row r="507">
          <cell r="G507">
            <v>-10.210000000000001</v>
          </cell>
          <cell r="H507">
            <v>0.5</v>
          </cell>
        </row>
        <row r="509">
          <cell r="D509">
            <v>34</v>
          </cell>
        </row>
        <row r="510">
          <cell r="G510" t="str">
            <v>土层底绝对标高</v>
          </cell>
          <cell r="H510" t="str">
            <v>土层厚</v>
          </cell>
        </row>
        <row r="511">
          <cell r="G511" t="str">
            <v>（m）</v>
          </cell>
          <cell r="H511" t="str">
            <v>Li (m)</v>
          </cell>
        </row>
        <row r="518">
          <cell r="G518">
            <v>-1.32</v>
          </cell>
        </row>
        <row r="519">
          <cell r="G519">
            <v>-5.62</v>
          </cell>
          <cell r="H519">
            <v>4.3</v>
          </cell>
        </row>
        <row r="520">
          <cell r="G520">
            <v>-7.42</v>
          </cell>
          <cell r="H520">
            <v>1.7999999999999998</v>
          </cell>
        </row>
        <row r="521">
          <cell r="G521">
            <v>-8.2200000000000006</v>
          </cell>
          <cell r="H521">
            <v>0.80000000000000071</v>
          </cell>
        </row>
        <row r="522">
          <cell r="G522">
            <v>-9.92</v>
          </cell>
          <cell r="H522">
            <v>1.6999999999999993</v>
          </cell>
        </row>
        <row r="524">
          <cell r="D524">
            <v>35</v>
          </cell>
        </row>
        <row r="525">
          <cell r="G525" t="str">
            <v>土层底绝对标高</v>
          </cell>
          <cell r="H525" t="str">
            <v>土层厚</v>
          </cell>
        </row>
        <row r="526">
          <cell r="G526" t="str">
            <v>（m）</v>
          </cell>
          <cell r="H526" t="str">
            <v>Li (m)</v>
          </cell>
        </row>
        <row r="533">
          <cell r="G533">
            <v>-1.1000000000000001</v>
          </cell>
        </row>
        <row r="534">
          <cell r="G534">
            <v>-3.8</v>
          </cell>
          <cell r="H534">
            <v>2.6999999999999997</v>
          </cell>
        </row>
        <row r="535">
          <cell r="G535">
            <v>-6.9</v>
          </cell>
          <cell r="H535">
            <v>3.1000000000000005</v>
          </cell>
        </row>
        <row r="536">
          <cell r="G536">
            <v>-9</v>
          </cell>
          <cell r="H536">
            <v>2.0999999999999996</v>
          </cell>
        </row>
        <row r="537">
          <cell r="G537">
            <v>-15.3</v>
          </cell>
          <cell r="H537">
            <v>6.3000000000000007</v>
          </cell>
        </row>
        <row r="539">
          <cell r="D539">
            <v>36</v>
          </cell>
        </row>
        <row r="540">
          <cell r="G540" t="str">
            <v>土层底绝对标高</v>
          </cell>
          <cell r="H540" t="str">
            <v>土层厚</v>
          </cell>
        </row>
        <row r="541">
          <cell r="G541" t="str">
            <v>（m）</v>
          </cell>
          <cell r="H541" t="str">
            <v>Li (m)</v>
          </cell>
        </row>
        <row r="548">
          <cell r="G548">
            <v>-2.4</v>
          </cell>
        </row>
        <row r="549">
          <cell r="G549">
            <v>-6</v>
          </cell>
          <cell r="H549">
            <v>3.6</v>
          </cell>
        </row>
        <row r="550">
          <cell r="G550">
            <v>-8.1</v>
          </cell>
          <cell r="H550">
            <v>2.0999999999999996</v>
          </cell>
        </row>
        <row r="551">
          <cell r="G551">
            <v>-10</v>
          </cell>
          <cell r="H551">
            <v>1.9000000000000004</v>
          </cell>
        </row>
        <row r="552">
          <cell r="G552">
            <v>-10.6</v>
          </cell>
          <cell r="H552">
            <v>0.59999999999999964</v>
          </cell>
        </row>
        <row r="554">
          <cell r="D554">
            <v>37</v>
          </cell>
        </row>
        <row r="555">
          <cell r="G555" t="str">
            <v>土层底绝对标高</v>
          </cell>
          <cell r="H555" t="str">
            <v>土层厚</v>
          </cell>
        </row>
        <row r="556">
          <cell r="G556" t="str">
            <v>（m）</v>
          </cell>
          <cell r="H556" t="str">
            <v>Li (m)</v>
          </cell>
        </row>
        <row r="563">
          <cell r="G563">
            <v>-1.97</v>
          </cell>
        </row>
        <row r="564">
          <cell r="G564">
            <v>-6.77</v>
          </cell>
          <cell r="H564">
            <v>4.8</v>
          </cell>
        </row>
        <row r="565">
          <cell r="G565">
            <v>-9.67</v>
          </cell>
          <cell r="H565">
            <v>2.9000000000000004</v>
          </cell>
        </row>
        <row r="566">
          <cell r="G566">
            <v>-12.17</v>
          </cell>
          <cell r="H566">
            <v>2.5</v>
          </cell>
        </row>
        <row r="567">
          <cell r="G567">
            <v>-13.17</v>
          </cell>
          <cell r="H567">
            <v>1</v>
          </cell>
        </row>
        <row r="569">
          <cell r="D569">
            <v>38</v>
          </cell>
        </row>
        <row r="570">
          <cell r="G570" t="str">
            <v>土层底绝对标高</v>
          </cell>
          <cell r="H570" t="str">
            <v>土层厚</v>
          </cell>
        </row>
        <row r="571">
          <cell r="G571" t="str">
            <v>（m）</v>
          </cell>
          <cell r="H571" t="str">
            <v>Li (m)</v>
          </cell>
        </row>
        <row r="578">
          <cell r="G578">
            <v>-0.39</v>
          </cell>
        </row>
        <row r="579">
          <cell r="G579">
            <v>-7.89</v>
          </cell>
          <cell r="H579">
            <v>7.5</v>
          </cell>
        </row>
        <row r="580">
          <cell r="G580">
            <v>-14.89</v>
          </cell>
          <cell r="H580">
            <v>7.0000000000000009</v>
          </cell>
        </row>
        <row r="581">
          <cell r="G581">
            <v>-18.89</v>
          </cell>
          <cell r="H581">
            <v>4</v>
          </cell>
        </row>
        <row r="582">
          <cell r="G582">
            <v>-19.39</v>
          </cell>
          <cell r="H582">
            <v>0.5</v>
          </cell>
        </row>
        <row r="584">
          <cell r="D584">
            <v>39</v>
          </cell>
        </row>
        <row r="585">
          <cell r="G585" t="str">
            <v>土层底绝对标高</v>
          </cell>
          <cell r="H585" t="str">
            <v>土层厚</v>
          </cell>
        </row>
        <row r="586">
          <cell r="G586" t="str">
            <v>（m）</v>
          </cell>
          <cell r="H586" t="str">
            <v>Li (m)</v>
          </cell>
        </row>
        <row r="593">
          <cell r="G593">
            <v>-0.89</v>
          </cell>
        </row>
        <row r="594">
          <cell r="G594">
            <v>-7.49</v>
          </cell>
          <cell r="H594">
            <v>6.6000000000000005</v>
          </cell>
        </row>
        <row r="595">
          <cell r="G595">
            <v>-14.29</v>
          </cell>
          <cell r="H595">
            <v>6.7999999999999989</v>
          </cell>
        </row>
        <row r="596">
          <cell r="G596">
            <v>-16.489999999999998</v>
          </cell>
          <cell r="H596">
            <v>2.1999999999999993</v>
          </cell>
        </row>
        <row r="597">
          <cell r="G597">
            <v>-16.989999999999998</v>
          </cell>
          <cell r="H597">
            <v>0.5</v>
          </cell>
        </row>
        <row r="599">
          <cell r="D599">
            <v>40</v>
          </cell>
        </row>
        <row r="600">
          <cell r="G600" t="str">
            <v>土层底绝对标高</v>
          </cell>
          <cell r="H600" t="str">
            <v>土层厚</v>
          </cell>
        </row>
        <row r="601">
          <cell r="G601" t="str">
            <v>（m）</v>
          </cell>
          <cell r="H601" t="str">
            <v>Li (m)</v>
          </cell>
        </row>
        <row r="608">
          <cell r="G608">
            <v>-0.72</v>
          </cell>
        </row>
        <row r="609">
          <cell r="G609">
            <v>-6.12</v>
          </cell>
          <cell r="H609">
            <v>5.4</v>
          </cell>
        </row>
        <row r="610">
          <cell r="G610">
            <v>-11.02</v>
          </cell>
          <cell r="H610">
            <v>4.8999999999999995</v>
          </cell>
        </row>
        <row r="611">
          <cell r="G611">
            <v>-16.52</v>
          </cell>
          <cell r="H611">
            <v>5.5</v>
          </cell>
        </row>
        <row r="612">
          <cell r="G612">
            <v>-17.12</v>
          </cell>
          <cell r="H612">
            <v>0.60000000000000142</v>
          </cell>
        </row>
        <row r="614">
          <cell r="D614">
            <v>41</v>
          </cell>
        </row>
        <row r="615">
          <cell r="G615" t="str">
            <v>土层底绝对标高</v>
          </cell>
          <cell r="H615" t="str">
            <v>土层厚</v>
          </cell>
        </row>
        <row r="616">
          <cell r="G616" t="str">
            <v>（m）</v>
          </cell>
          <cell r="H616" t="str">
            <v>Li (m)</v>
          </cell>
        </row>
        <row r="623">
          <cell r="G623">
            <v>-1.63</v>
          </cell>
        </row>
        <row r="624">
          <cell r="G624">
            <v>-6.23</v>
          </cell>
          <cell r="H624">
            <v>4.6000000000000005</v>
          </cell>
        </row>
        <row r="625">
          <cell r="G625">
            <v>-11.73</v>
          </cell>
          <cell r="H625">
            <v>5.5</v>
          </cell>
        </row>
        <row r="626">
          <cell r="G626">
            <v>-15.53</v>
          </cell>
          <cell r="H626">
            <v>3.7999999999999989</v>
          </cell>
        </row>
        <row r="627">
          <cell r="G627">
            <v>-16.03</v>
          </cell>
          <cell r="H627">
            <v>0.50000000000000178</v>
          </cell>
        </row>
        <row r="629">
          <cell r="D629">
            <v>42</v>
          </cell>
        </row>
        <row r="630">
          <cell r="G630" t="str">
            <v>土层底绝对标高</v>
          </cell>
          <cell r="H630" t="str">
            <v>土层厚</v>
          </cell>
        </row>
        <row r="631">
          <cell r="G631" t="str">
            <v>（m）</v>
          </cell>
          <cell r="H631" t="str">
            <v>Li (m)</v>
          </cell>
        </row>
        <row r="638">
          <cell r="G638">
            <v>-1.61</v>
          </cell>
        </row>
        <row r="639">
          <cell r="G639">
            <v>-7.11</v>
          </cell>
          <cell r="H639">
            <v>5.5</v>
          </cell>
        </row>
        <row r="640">
          <cell r="G640">
            <v>-13.71</v>
          </cell>
          <cell r="H640">
            <v>6.6000000000000005</v>
          </cell>
        </row>
        <row r="641">
          <cell r="G641">
            <v>-16.809999999999999</v>
          </cell>
          <cell r="H641">
            <v>3.0999999999999979</v>
          </cell>
        </row>
        <row r="642">
          <cell r="G642">
            <v>-17.61</v>
          </cell>
          <cell r="H642">
            <v>0.80000000000000071</v>
          </cell>
        </row>
        <row r="644">
          <cell r="D644">
            <v>43</v>
          </cell>
        </row>
        <row r="645">
          <cell r="G645" t="str">
            <v>土层底绝对标高</v>
          </cell>
          <cell r="H645" t="str">
            <v>土层厚</v>
          </cell>
        </row>
        <row r="646">
          <cell r="G646" t="str">
            <v>（m）</v>
          </cell>
          <cell r="H646" t="str">
            <v>Li (m)</v>
          </cell>
        </row>
        <row r="651">
          <cell r="G651">
            <v>7.0000000000000007E-2</v>
          </cell>
        </row>
        <row r="654">
          <cell r="G654">
            <v>-7.63</v>
          </cell>
          <cell r="H654">
            <v>7.7</v>
          </cell>
        </row>
        <row r="655">
          <cell r="G655">
            <v>-14.13</v>
          </cell>
          <cell r="H655">
            <v>6.5000000000000009</v>
          </cell>
        </row>
        <row r="656">
          <cell r="G656">
            <v>-17.03</v>
          </cell>
          <cell r="H656">
            <v>2.9000000000000004</v>
          </cell>
        </row>
        <row r="657">
          <cell r="G657">
            <v>-17.63</v>
          </cell>
          <cell r="H657">
            <v>0.59999999999999787</v>
          </cell>
        </row>
        <row r="659">
          <cell r="D659">
            <v>44</v>
          </cell>
        </row>
        <row r="660">
          <cell r="G660" t="str">
            <v>土层底绝对标高</v>
          </cell>
          <cell r="H660" t="str">
            <v>土层厚</v>
          </cell>
        </row>
        <row r="661">
          <cell r="G661" t="str">
            <v>（m）</v>
          </cell>
          <cell r="H661" t="str">
            <v>Li (m)</v>
          </cell>
        </row>
        <row r="668">
          <cell r="G668">
            <v>-1.1299999999999999</v>
          </cell>
        </row>
        <row r="669">
          <cell r="G669">
            <v>-6.33</v>
          </cell>
          <cell r="H669">
            <v>5.2</v>
          </cell>
        </row>
        <row r="670">
          <cell r="G670">
            <v>-8.83</v>
          </cell>
          <cell r="H670">
            <v>2.5</v>
          </cell>
        </row>
        <row r="671">
          <cell r="G671">
            <v>-10.43</v>
          </cell>
          <cell r="H671">
            <v>1.5999999999999996</v>
          </cell>
        </row>
        <row r="672">
          <cell r="G672">
            <v>-11.93</v>
          </cell>
          <cell r="H672">
            <v>1.5</v>
          </cell>
        </row>
        <row r="674">
          <cell r="D674">
            <v>45</v>
          </cell>
        </row>
        <row r="675">
          <cell r="G675" t="str">
            <v>土层底绝对标高</v>
          </cell>
          <cell r="H675" t="str">
            <v>土层厚</v>
          </cell>
        </row>
        <row r="676">
          <cell r="G676" t="str">
            <v>（m）</v>
          </cell>
          <cell r="H676" t="str">
            <v>Li (m)</v>
          </cell>
        </row>
        <row r="683">
          <cell r="G683">
            <v>-1.72</v>
          </cell>
        </row>
        <row r="684">
          <cell r="G684">
            <v>-6.52</v>
          </cell>
          <cell r="H684">
            <v>4.8</v>
          </cell>
        </row>
        <row r="685">
          <cell r="G685">
            <v>-7.52</v>
          </cell>
          <cell r="H685">
            <v>1</v>
          </cell>
        </row>
        <row r="686">
          <cell r="G686">
            <v>-9.82</v>
          </cell>
          <cell r="H686">
            <v>2.3000000000000007</v>
          </cell>
        </row>
        <row r="687">
          <cell r="G687">
            <v>-10.62</v>
          </cell>
          <cell r="H687">
            <v>0.79999999999999893</v>
          </cell>
        </row>
        <row r="689">
          <cell r="D689">
            <v>46</v>
          </cell>
        </row>
        <row r="690">
          <cell r="G690" t="str">
            <v>土层底绝对标高</v>
          </cell>
          <cell r="H690" t="str">
            <v>土层厚</v>
          </cell>
        </row>
        <row r="691">
          <cell r="G691" t="str">
            <v>（m）</v>
          </cell>
          <cell r="H691" t="str">
            <v>Li (m)</v>
          </cell>
        </row>
        <row r="698">
          <cell r="G698">
            <v>-2.1</v>
          </cell>
        </row>
        <row r="699">
          <cell r="G699">
            <v>-6.2</v>
          </cell>
          <cell r="H699">
            <v>4.0999999999999996</v>
          </cell>
        </row>
        <row r="700">
          <cell r="G700">
            <v>-7.2</v>
          </cell>
          <cell r="H700">
            <v>1</v>
          </cell>
        </row>
        <row r="701">
          <cell r="G701">
            <v>-11.3</v>
          </cell>
          <cell r="H701">
            <v>4.1000000000000005</v>
          </cell>
        </row>
        <row r="702">
          <cell r="G702">
            <v>-12.1</v>
          </cell>
          <cell r="H702">
            <v>0.79999999999999893</v>
          </cell>
        </row>
        <row r="704">
          <cell r="D704">
            <v>47</v>
          </cell>
        </row>
        <row r="705">
          <cell r="G705" t="str">
            <v>土层底绝对标高</v>
          </cell>
          <cell r="H705" t="str">
            <v>土层厚</v>
          </cell>
        </row>
        <row r="706">
          <cell r="G706" t="str">
            <v>（m）</v>
          </cell>
          <cell r="H706" t="str">
            <v>Li (m)</v>
          </cell>
        </row>
        <row r="713">
          <cell r="G713">
            <v>-1.87</v>
          </cell>
        </row>
        <row r="714">
          <cell r="G714">
            <v>-6.07</v>
          </cell>
          <cell r="H714">
            <v>4.2</v>
          </cell>
        </row>
        <row r="715">
          <cell r="G715">
            <v>-10.17</v>
          </cell>
          <cell r="H715">
            <v>4.0999999999999996</v>
          </cell>
        </row>
        <row r="716">
          <cell r="G716">
            <v>-12.07</v>
          </cell>
          <cell r="H716">
            <v>1.9000000000000004</v>
          </cell>
        </row>
        <row r="717">
          <cell r="G717">
            <v>-12.57</v>
          </cell>
          <cell r="H717">
            <v>0.5</v>
          </cell>
        </row>
        <row r="719">
          <cell r="D719">
            <v>48</v>
          </cell>
        </row>
        <row r="720">
          <cell r="G720" t="str">
            <v>土层底绝对标高</v>
          </cell>
          <cell r="H720" t="str">
            <v>土层厚</v>
          </cell>
        </row>
        <row r="721">
          <cell r="G721" t="str">
            <v>（m）</v>
          </cell>
          <cell r="H721" t="str">
            <v>Li (m)</v>
          </cell>
        </row>
        <row r="728">
          <cell r="G728">
            <v>-1.35</v>
          </cell>
        </row>
        <row r="729">
          <cell r="G729">
            <v>-6.75</v>
          </cell>
          <cell r="H729">
            <v>5.4</v>
          </cell>
        </row>
        <row r="730">
          <cell r="G730">
            <v>-11.05</v>
          </cell>
          <cell r="H730">
            <v>4.3000000000000007</v>
          </cell>
        </row>
        <row r="731">
          <cell r="G731">
            <v>-14.75</v>
          </cell>
          <cell r="H731">
            <v>3.6999999999999993</v>
          </cell>
        </row>
        <row r="732">
          <cell r="G732">
            <v>-15.15</v>
          </cell>
          <cell r="H732">
            <v>0.40000000000000036</v>
          </cell>
        </row>
        <row r="734">
          <cell r="D734">
            <v>49</v>
          </cell>
        </row>
        <row r="735">
          <cell r="G735" t="str">
            <v>土层底绝对标高</v>
          </cell>
          <cell r="H735" t="str">
            <v>土层厚</v>
          </cell>
        </row>
        <row r="736">
          <cell r="G736" t="str">
            <v>（m）</v>
          </cell>
          <cell r="H736" t="str">
            <v>Li (m)</v>
          </cell>
        </row>
        <row r="743">
          <cell r="G743">
            <v>-1.24</v>
          </cell>
        </row>
        <row r="744">
          <cell r="G744">
            <v>-7.04</v>
          </cell>
          <cell r="H744">
            <v>5.8</v>
          </cell>
        </row>
        <row r="745">
          <cell r="G745">
            <v>-11.44</v>
          </cell>
          <cell r="H745">
            <v>4.3999999999999995</v>
          </cell>
        </row>
        <row r="746">
          <cell r="G746">
            <v>-14.54</v>
          </cell>
          <cell r="H746">
            <v>3.0999999999999996</v>
          </cell>
        </row>
        <row r="747">
          <cell r="G747">
            <v>-15.04</v>
          </cell>
          <cell r="H747">
            <v>0.5</v>
          </cell>
        </row>
        <row r="749">
          <cell r="D749">
            <v>50</v>
          </cell>
        </row>
        <row r="750">
          <cell r="G750" t="str">
            <v>土层底绝对标高</v>
          </cell>
          <cell r="H750" t="str">
            <v>土层厚</v>
          </cell>
        </row>
        <row r="751">
          <cell r="G751" t="str">
            <v>（m）</v>
          </cell>
          <cell r="H751" t="str">
            <v>Li (m)</v>
          </cell>
        </row>
        <row r="758">
          <cell r="G758">
            <v>-2.5099999999999998</v>
          </cell>
        </row>
        <row r="759">
          <cell r="G759">
            <v>-6.61</v>
          </cell>
          <cell r="H759">
            <v>4.1000000000000005</v>
          </cell>
        </row>
        <row r="760">
          <cell r="G760">
            <v>-11.21</v>
          </cell>
          <cell r="H760">
            <v>4.6000000000000005</v>
          </cell>
        </row>
        <row r="761">
          <cell r="G761">
            <v>-16.61</v>
          </cell>
          <cell r="H761">
            <v>5.3999999999999986</v>
          </cell>
        </row>
        <row r="762">
          <cell r="G762">
            <v>-17.510000000000002</v>
          </cell>
          <cell r="H762">
            <v>0.90000000000000213</v>
          </cell>
        </row>
        <row r="764">
          <cell r="D764">
            <v>51</v>
          </cell>
        </row>
        <row r="765">
          <cell r="G765" t="str">
            <v>土层底绝对标高</v>
          </cell>
          <cell r="H765" t="str">
            <v>土层厚</v>
          </cell>
        </row>
        <row r="766">
          <cell r="G766" t="str">
            <v>（m）</v>
          </cell>
          <cell r="H766" t="str">
            <v>Li (m)</v>
          </cell>
        </row>
        <row r="773">
          <cell r="G773">
            <v>-1.36</v>
          </cell>
        </row>
        <row r="774">
          <cell r="G774">
            <v>-6.16</v>
          </cell>
          <cell r="H774">
            <v>4.8</v>
          </cell>
        </row>
        <row r="775">
          <cell r="G775">
            <v>-10.46</v>
          </cell>
          <cell r="H775">
            <v>4.3000000000000007</v>
          </cell>
        </row>
        <row r="776">
          <cell r="G776">
            <v>-10.96</v>
          </cell>
          <cell r="H776">
            <v>0.5</v>
          </cell>
        </row>
        <row r="777">
          <cell r="G777">
            <v>-11.46</v>
          </cell>
          <cell r="H777">
            <v>0.5</v>
          </cell>
        </row>
        <row r="779">
          <cell r="D779">
            <v>52</v>
          </cell>
        </row>
        <row r="780">
          <cell r="G780" t="str">
            <v>土层底绝对标高</v>
          </cell>
          <cell r="H780" t="str">
            <v>土层厚</v>
          </cell>
        </row>
        <row r="781">
          <cell r="G781" t="str">
            <v>（m）</v>
          </cell>
          <cell r="H781" t="str">
            <v>Li (m)</v>
          </cell>
        </row>
        <row r="788">
          <cell r="G788">
            <v>-0.91</v>
          </cell>
        </row>
        <row r="789">
          <cell r="G789">
            <v>-6.61</v>
          </cell>
          <cell r="H789">
            <v>5.7</v>
          </cell>
        </row>
        <row r="790">
          <cell r="G790">
            <v>-13.11</v>
          </cell>
          <cell r="H790">
            <v>6.4999999999999991</v>
          </cell>
        </row>
        <row r="791">
          <cell r="G791">
            <v>-15.81</v>
          </cell>
          <cell r="H791">
            <v>2.7000000000000011</v>
          </cell>
        </row>
        <row r="792">
          <cell r="G792">
            <v>-16.41</v>
          </cell>
          <cell r="H792">
            <v>0.59999999999999964</v>
          </cell>
        </row>
        <row r="794">
          <cell r="D794">
            <v>53</v>
          </cell>
        </row>
        <row r="795">
          <cell r="G795" t="str">
            <v>土层底绝对标高</v>
          </cell>
          <cell r="H795" t="str">
            <v>土层厚</v>
          </cell>
        </row>
        <row r="796">
          <cell r="G796" t="str">
            <v>（m）</v>
          </cell>
          <cell r="H796" t="str">
            <v>Li (m)</v>
          </cell>
        </row>
        <row r="803">
          <cell r="G803">
            <v>-2.2400000000000002</v>
          </cell>
        </row>
        <row r="804">
          <cell r="G804">
            <v>-5.74</v>
          </cell>
          <cell r="H804">
            <v>3.5</v>
          </cell>
        </row>
        <row r="805">
          <cell r="G805">
            <v>-10.14</v>
          </cell>
          <cell r="H805">
            <v>4.4000000000000004</v>
          </cell>
        </row>
        <row r="806">
          <cell r="G806">
            <v>-15.84</v>
          </cell>
          <cell r="H806">
            <v>5.6999999999999993</v>
          </cell>
        </row>
        <row r="807">
          <cell r="G807">
            <v>-16.440000000000001</v>
          </cell>
          <cell r="H807">
            <v>0.60000000000000142</v>
          </cell>
        </row>
        <row r="809">
          <cell r="D809">
            <v>54</v>
          </cell>
        </row>
        <row r="810">
          <cell r="G810" t="str">
            <v>土层底绝对标高</v>
          </cell>
          <cell r="H810" t="str">
            <v>土层厚</v>
          </cell>
        </row>
        <row r="811">
          <cell r="G811" t="str">
            <v>（m）</v>
          </cell>
          <cell r="H811" t="str">
            <v>Li (m)</v>
          </cell>
        </row>
        <row r="818">
          <cell r="G818">
            <v>-0.87</v>
          </cell>
        </row>
        <row r="819">
          <cell r="G819">
            <v>-8.07</v>
          </cell>
          <cell r="H819">
            <v>7.2</v>
          </cell>
        </row>
        <row r="820">
          <cell r="G820">
            <v>-16.07</v>
          </cell>
          <cell r="H820">
            <v>8</v>
          </cell>
        </row>
        <row r="821">
          <cell r="G821">
            <v>-18.07</v>
          </cell>
          <cell r="H821">
            <v>2</v>
          </cell>
        </row>
        <row r="822">
          <cell r="G822">
            <v>-18.77</v>
          </cell>
          <cell r="H822">
            <v>0.69999999999999929</v>
          </cell>
        </row>
        <row r="824">
          <cell r="D824">
            <v>55</v>
          </cell>
        </row>
        <row r="825">
          <cell r="G825" t="str">
            <v>土层底绝对标高</v>
          </cell>
          <cell r="H825" t="str">
            <v>土层厚</v>
          </cell>
        </row>
        <row r="826">
          <cell r="G826" t="str">
            <v>（m）</v>
          </cell>
          <cell r="H826" t="str">
            <v>Li (m)</v>
          </cell>
        </row>
        <row r="833">
          <cell r="G833">
            <v>-1.3</v>
          </cell>
        </row>
        <row r="834">
          <cell r="G834">
            <v>-7.5</v>
          </cell>
          <cell r="H834">
            <v>6.2</v>
          </cell>
        </row>
        <row r="835">
          <cell r="G835">
            <v>-9.5</v>
          </cell>
          <cell r="H835">
            <v>2</v>
          </cell>
        </row>
        <row r="836">
          <cell r="G836">
            <v>-10.6</v>
          </cell>
          <cell r="H836">
            <v>1.0999999999999996</v>
          </cell>
        </row>
        <row r="837">
          <cell r="G837">
            <v>-11.1</v>
          </cell>
          <cell r="H837">
            <v>0.5</v>
          </cell>
        </row>
        <row r="839">
          <cell r="D839">
            <v>56</v>
          </cell>
        </row>
        <row r="840">
          <cell r="G840" t="str">
            <v>土层底绝对标高</v>
          </cell>
          <cell r="H840" t="str">
            <v>土层厚</v>
          </cell>
        </row>
        <row r="841">
          <cell r="G841" t="str">
            <v>（m）</v>
          </cell>
          <cell r="H841" t="str">
            <v>Li (m)</v>
          </cell>
        </row>
        <row r="848">
          <cell r="G848">
            <v>-1.63</v>
          </cell>
        </row>
        <row r="849">
          <cell r="G849">
            <v>-6.03</v>
          </cell>
          <cell r="H849">
            <v>4.4000000000000004</v>
          </cell>
        </row>
        <row r="850">
          <cell r="G850">
            <v>-9.1300000000000008</v>
          </cell>
          <cell r="H850">
            <v>3.1000000000000005</v>
          </cell>
        </row>
        <row r="851">
          <cell r="G851">
            <v>-10.43</v>
          </cell>
          <cell r="H851">
            <v>1.2999999999999989</v>
          </cell>
        </row>
        <row r="852">
          <cell r="G852">
            <v>-11.03</v>
          </cell>
          <cell r="H852">
            <v>0.59999999999999964</v>
          </cell>
        </row>
        <row r="854">
          <cell r="D854">
            <v>57</v>
          </cell>
        </row>
        <row r="855">
          <cell r="G855" t="str">
            <v>土层底绝对标高</v>
          </cell>
          <cell r="H855" t="str">
            <v>土层厚</v>
          </cell>
        </row>
        <row r="856">
          <cell r="G856" t="str">
            <v>（m）</v>
          </cell>
          <cell r="H856" t="str">
            <v>Li (m)</v>
          </cell>
        </row>
        <row r="863">
          <cell r="G863">
            <v>-1.68</v>
          </cell>
        </row>
        <row r="864">
          <cell r="G864">
            <v>-6.78</v>
          </cell>
          <cell r="H864">
            <v>5.1000000000000005</v>
          </cell>
        </row>
        <row r="865">
          <cell r="G865">
            <v>-10.68</v>
          </cell>
          <cell r="H865">
            <v>3.8999999999999995</v>
          </cell>
        </row>
        <row r="866">
          <cell r="G866">
            <v>-11.68</v>
          </cell>
          <cell r="H866">
            <v>1</v>
          </cell>
        </row>
        <row r="867">
          <cell r="G867">
            <v>-12.48</v>
          </cell>
          <cell r="H867">
            <v>0.80000000000000071</v>
          </cell>
        </row>
        <row r="869">
          <cell r="D869">
            <v>58</v>
          </cell>
        </row>
        <row r="870">
          <cell r="G870" t="str">
            <v>土层底绝对标高</v>
          </cell>
          <cell r="H870" t="str">
            <v>土层厚</v>
          </cell>
        </row>
        <row r="871">
          <cell r="G871" t="str">
            <v>（m）</v>
          </cell>
          <cell r="H871" t="str">
            <v>Li (m)</v>
          </cell>
        </row>
        <row r="878">
          <cell r="G878">
            <v>-1.7</v>
          </cell>
        </row>
        <row r="879">
          <cell r="G879">
            <v>-6.1</v>
          </cell>
          <cell r="H879">
            <v>4.3999999999999995</v>
          </cell>
        </row>
        <row r="880">
          <cell r="G880">
            <v>-10.4</v>
          </cell>
          <cell r="H880">
            <v>4.3000000000000007</v>
          </cell>
        </row>
        <row r="881">
          <cell r="G881">
            <v>-12</v>
          </cell>
          <cell r="H881">
            <v>1.5999999999999996</v>
          </cell>
        </row>
        <row r="882">
          <cell r="G882">
            <v>-14.2</v>
          </cell>
          <cell r="H882">
            <v>2.1999999999999993</v>
          </cell>
        </row>
        <row r="884">
          <cell r="D884">
            <v>59</v>
          </cell>
        </row>
        <row r="885">
          <cell r="G885" t="str">
            <v>土层底绝对标高</v>
          </cell>
          <cell r="H885" t="str">
            <v>土层厚</v>
          </cell>
        </row>
        <row r="886">
          <cell r="G886" t="str">
            <v>（m）</v>
          </cell>
          <cell r="H886" t="str">
            <v>Li (m)</v>
          </cell>
        </row>
        <row r="893">
          <cell r="G893">
            <v>-2.06</v>
          </cell>
        </row>
        <row r="894">
          <cell r="G894">
            <v>-6.06</v>
          </cell>
          <cell r="H894">
            <v>3.9999999999999996</v>
          </cell>
        </row>
        <row r="895">
          <cell r="G895">
            <v>-11.26</v>
          </cell>
          <cell r="H895">
            <v>5.2</v>
          </cell>
        </row>
        <row r="896">
          <cell r="G896">
            <v>-15.96</v>
          </cell>
          <cell r="H896">
            <v>4.7000000000000011</v>
          </cell>
        </row>
        <row r="897">
          <cell r="G897">
            <v>-16.559999999999999</v>
          </cell>
          <cell r="H897">
            <v>0.59999999999999787</v>
          </cell>
        </row>
        <row r="899">
          <cell r="D899">
            <v>60</v>
          </cell>
        </row>
        <row r="900">
          <cell r="G900" t="str">
            <v>土层底绝对标高</v>
          </cell>
          <cell r="H900" t="str">
            <v>土层厚</v>
          </cell>
        </row>
        <row r="901">
          <cell r="G901" t="str">
            <v>（m）</v>
          </cell>
          <cell r="H901" t="str">
            <v>Li (m)</v>
          </cell>
        </row>
        <row r="908">
          <cell r="G908">
            <v>-1.54</v>
          </cell>
        </row>
        <row r="909">
          <cell r="G909">
            <v>-6.94</v>
          </cell>
          <cell r="H909">
            <v>5.4</v>
          </cell>
        </row>
        <row r="910">
          <cell r="G910">
            <v>-12.94</v>
          </cell>
          <cell r="H910">
            <v>5.9999999999999991</v>
          </cell>
        </row>
        <row r="911">
          <cell r="G911">
            <v>-17.14</v>
          </cell>
          <cell r="H911">
            <v>4.2000000000000011</v>
          </cell>
        </row>
        <row r="912">
          <cell r="G912">
            <v>-17.940000000000001</v>
          </cell>
          <cell r="H912">
            <v>0.80000000000000071</v>
          </cell>
        </row>
        <row r="914">
          <cell r="D914">
            <v>61</v>
          </cell>
        </row>
        <row r="915">
          <cell r="G915" t="str">
            <v>土层底绝对标高</v>
          </cell>
          <cell r="H915" t="str">
            <v>土层厚</v>
          </cell>
        </row>
        <row r="916">
          <cell r="G916" t="str">
            <v>（m）</v>
          </cell>
          <cell r="H916" t="str">
            <v>Li (m)</v>
          </cell>
        </row>
        <row r="923">
          <cell r="G923">
            <v>-1.87</v>
          </cell>
        </row>
        <row r="924">
          <cell r="G924">
            <v>-7.17</v>
          </cell>
          <cell r="H924">
            <v>5.3</v>
          </cell>
        </row>
        <row r="925">
          <cell r="G925">
            <v>-12.37</v>
          </cell>
          <cell r="H925">
            <v>5.1999999999999993</v>
          </cell>
        </row>
        <row r="926">
          <cell r="G926">
            <v>-16.57</v>
          </cell>
          <cell r="H926">
            <v>4.2000000000000011</v>
          </cell>
        </row>
        <row r="927">
          <cell r="H927">
            <v>-16.57</v>
          </cell>
        </row>
        <row r="929">
          <cell r="D929">
            <v>62</v>
          </cell>
        </row>
        <row r="930">
          <cell r="G930" t="str">
            <v>土层底绝对标高</v>
          </cell>
          <cell r="H930" t="str">
            <v>土层厚</v>
          </cell>
        </row>
        <row r="931">
          <cell r="G931" t="str">
            <v>（m）</v>
          </cell>
          <cell r="H931" t="str">
            <v>Li (m)</v>
          </cell>
        </row>
        <row r="938">
          <cell r="G938">
            <v>-1.46</v>
          </cell>
        </row>
        <row r="939">
          <cell r="G939">
            <v>-7.86</v>
          </cell>
          <cell r="H939">
            <v>6.4</v>
          </cell>
        </row>
        <row r="940">
          <cell r="G940">
            <v>-13.66</v>
          </cell>
          <cell r="H940">
            <v>5.8</v>
          </cell>
        </row>
        <row r="941">
          <cell r="G941">
            <v>-16.96</v>
          </cell>
          <cell r="H941">
            <v>3.3000000000000007</v>
          </cell>
        </row>
        <row r="942">
          <cell r="G942">
            <v>-17.46</v>
          </cell>
          <cell r="H942">
            <v>0.5</v>
          </cell>
        </row>
        <row r="944">
          <cell r="D944">
            <v>63</v>
          </cell>
        </row>
        <row r="945">
          <cell r="G945" t="str">
            <v>土层底绝对标高</v>
          </cell>
          <cell r="H945" t="str">
            <v>土层厚</v>
          </cell>
        </row>
        <row r="946">
          <cell r="G946" t="str">
            <v>（m）</v>
          </cell>
          <cell r="H946" t="str">
            <v>Li (m)</v>
          </cell>
        </row>
        <row r="953">
          <cell r="G953">
            <v>-2.4700000000000002</v>
          </cell>
        </row>
        <row r="954">
          <cell r="G954">
            <v>-7.57</v>
          </cell>
          <cell r="H954">
            <v>5.0999999999999996</v>
          </cell>
        </row>
        <row r="955">
          <cell r="G955">
            <v>-12.37</v>
          </cell>
          <cell r="H955">
            <v>4.7999999999999989</v>
          </cell>
        </row>
        <row r="956">
          <cell r="G956">
            <v>-15.67</v>
          </cell>
          <cell r="H956">
            <v>3.3000000000000007</v>
          </cell>
        </row>
        <row r="957">
          <cell r="G957">
            <v>-16.07</v>
          </cell>
          <cell r="H957">
            <v>0.40000000000000036</v>
          </cell>
        </row>
        <row r="959">
          <cell r="D959">
            <v>64</v>
          </cell>
        </row>
        <row r="960">
          <cell r="G960" t="str">
            <v>土层底绝对标高</v>
          </cell>
          <cell r="H960" t="str">
            <v>土层厚</v>
          </cell>
        </row>
        <row r="961">
          <cell r="G961" t="str">
            <v>（m）</v>
          </cell>
          <cell r="H961" t="str">
            <v>Li (m)</v>
          </cell>
        </row>
        <row r="968">
          <cell r="G968">
            <v>-2.65</v>
          </cell>
        </row>
        <row r="969">
          <cell r="G969">
            <v>-6.75</v>
          </cell>
          <cell r="H969">
            <v>4.0999999999999996</v>
          </cell>
        </row>
        <row r="970">
          <cell r="G970">
            <v>-11.85</v>
          </cell>
          <cell r="H970">
            <v>5.0999999999999996</v>
          </cell>
        </row>
        <row r="971">
          <cell r="G971">
            <v>-15.75</v>
          </cell>
          <cell r="H971">
            <v>3.9000000000000004</v>
          </cell>
        </row>
        <row r="972">
          <cell r="G972">
            <v>-16.45</v>
          </cell>
          <cell r="H972">
            <v>0.69999999999999929</v>
          </cell>
        </row>
        <row r="974">
          <cell r="D974">
            <v>65</v>
          </cell>
        </row>
        <row r="975">
          <cell r="G975" t="str">
            <v>土层底绝对标高</v>
          </cell>
          <cell r="H975" t="str">
            <v>土层厚</v>
          </cell>
        </row>
        <row r="976">
          <cell r="G976" t="str">
            <v>（m）</v>
          </cell>
          <cell r="H976" t="str">
            <v>Li (m)</v>
          </cell>
        </row>
        <row r="983">
          <cell r="G983">
            <v>-1.79</v>
          </cell>
        </row>
        <row r="984">
          <cell r="G984">
            <v>-6.39</v>
          </cell>
          <cell r="H984">
            <v>4.5999999999999996</v>
          </cell>
        </row>
        <row r="985">
          <cell r="G985">
            <v>-12.39</v>
          </cell>
          <cell r="H985">
            <v>6.0000000000000009</v>
          </cell>
        </row>
        <row r="986">
          <cell r="G986">
            <v>-16.190000000000001</v>
          </cell>
          <cell r="H986">
            <v>3.8000000000000007</v>
          </cell>
        </row>
        <row r="987">
          <cell r="G987">
            <v>-16.79</v>
          </cell>
          <cell r="H987">
            <v>0.59999999999999787</v>
          </cell>
        </row>
        <row r="989">
          <cell r="D989">
            <v>66</v>
          </cell>
        </row>
        <row r="990">
          <cell r="G990" t="str">
            <v>土层底绝对标高</v>
          </cell>
          <cell r="H990" t="str">
            <v>土层厚</v>
          </cell>
        </row>
        <row r="991">
          <cell r="G991" t="str">
            <v>（m）</v>
          </cell>
          <cell r="H991" t="str">
            <v>Li (m)</v>
          </cell>
        </row>
        <row r="998">
          <cell r="G998">
            <v>-0.99</v>
          </cell>
        </row>
        <row r="999">
          <cell r="G999">
            <v>-7.29</v>
          </cell>
          <cell r="H999">
            <v>6.3</v>
          </cell>
        </row>
        <row r="1000">
          <cell r="G1000">
            <v>-12.49</v>
          </cell>
          <cell r="H1000">
            <v>5.2</v>
          </cell>
        </row>
        <row r="1001">
          <cell r="G1001">
            <v>-18.29</v>
          </cell>
          <cell r="H1001">
            <v>5.7999999999999989</v>
          </cell>
        </row>
        <row r="1002">
          <cell r="G1002">
            <v>-19.190000000000001</v>
          </cell>
          <cell r="H1002">
            <v>0.90000000000000213</v>
          </cell>
        </row>
        <row r="1004">
          <cell r="D1004">
            <v>67</v>
          </cell>
        </row>
        <row r="1005">
          <cell r="G1005" t="str">
            <v>土层底绝对标高</v>
          </cell>
          <cell r="H1005" t="str">
            <v>土层厚</v>
          </cell>
        </row>
        <row r="1006">
          <cell r="G1006" t="str">
            <v>（m）</v>
          </cell>
          <cell r="H1006" t="str">
            <v>Li (m)</v>
          </cell>
        </row>
        <row r="1013">
          <cell r="G1013">
            <v>-1.48</v>
          </cell>
        </row>
        <row r="1014">
          <cell r="G1014">
            <v>-7.78</v>
          </cell>
          <cell r="H1014">
            <v>6.3000000000000007</v>
          </cell>
        </row>
        <row r="1015">
          <cell r="G1015">
            <v>-14.18</v>
          </cell>
          <cell r="H1015">
            <v>6.3999999999999995</v>
          </cell>
        </row>
        <row r="1016">
          <cell r="G1016">
            <v>-20.38</v>
          </cell>
          <cell r="H1016">
            <v>6.1999999999999993</v>
          </cell>
        </row>
        <row r="1017">
          <cell r="G1017">
            <v>-21.38</v>
          </cell>
          <cell r="H1017">
            <v>1</v>
          </cell>
        </row>
        <row r="1019">
          <cell r="D1019">
            <v>68</v>
          </cell>
        </row>
        <row r="1020">
          <cell r="G1020" t="str">
            <v>土层底绝对标高</v>
          </cell>
          <cell r="H1020" t="str">
            <v>土层厚</v>
          </cell>
        </row>
        <row r="1021">
          <cell r="G1021" t="str">
            <v>（m）</v>
          </cell>
          <cell r="H1021" t="str">
            <v>Li (m)</v>
          </cell>
        </row>
        <row r="1028">
          <cell r="G1028">
            <v>-1.45</v>
          </cell>
        </row>
        <row r="1029">
          <cell r="G1029">
            <v>-8.25</v>
          </cell>
          <cell r="H1029">
            <v>6.8</v>
          </cell>
        </row>
        <row r="1030">
          <cell r="G1030">
            <v>-15.15</v>
          </cell>
          <cell r="H1030">
            <v>6.9</v>
          </cell>
        </row>
        <row r="1031">
          <cell r="G1031">
            <v>-18.95</v>
          </cell>
          <cell r="H1031">
            <v>3.7999999999999989</v>
          </cell>
        </row>
        <row r="1032">
          <cell r="G1032">
            <v>-19.45</v>
          </cell>
          <cell r="H1032">
            <v>0.5</v>
          </cell>
        </row>
        <row r="1034">
          <cell r="D1034">
            <v>69</v>
          </cell>
        </row>
        <row r="1035">
          <cell r="G1035" t="str">
            <v>土层底绝对标高</v>
          </cell>
          <cell r="H1035" t="str">
            <v>土层厚</v>
          </cell>
        </row>
        <row r="1036">
          <cell r="G1036" t="str">
            <v>（m）</v>
          </cell>
          <cell r="H1036" t="str">
            <v>Li (m)</v>
          </cell>
        </row>
        <row r="1043">
          <cell r="G1043">
            <v>-2.37</v>
          </cell>
        </row>
        <row r="1044">
          <cell r="G1044">
            <v>-8.07</v>
          </cell>
          <cell r="H1044">
            <v>5.7</v>
          </cell>
        </row>
        <row r="1045">
          <cell r="G1045">
            <v>-14.67</v>
          </cell>
          <cell r="H1045">
            <v>6.6</v>
          </cell>
        </row>
        <row r="1046">
          <cell r="G1046">
            <v>-16.670000000000002</v>
          </cell>
          <cell r="H1046">
            <v>2.0000000000000018</v>
          </cell>
        </row>
        <row r="1047">
          <cell r="G1047">
            <v>-17.27</v>
          </cell>
          <cell r="H1047">
            <v>0.59999999999999787</v>
          </cell>
        </row>
        <row r="1049">
          <cell r="D1049">
            <v>70</v>
          </cell>
        </row>
        <row r="1050">
          <cell r="G1050" t="str">
            <v>土层底绝对标高</v>
          </cell>
          <cell r="H1050" t="str">
            <v>土层厚</v>
          </cell>
        </row>
        <row r="1051">
          <cell r="G1051" t="str">
            <v>（m）</v>
          </cell>
          <cell r="H1051" t="str">
            <v>Li (m)</v>
          </cell>
        </row>
        <row r="1058">
          <cell r="G1058">
            <v>-1.93</v>
          </cell>
        </row>
        <row r="1059">
          <cell r="G1059">
            <v>-8.1300000000000008</v>
          </cell>
          <cell r="H1059">
            <v>6.2000000000000011</v>
          </cell>
        </row>
        <row r="1060">
          <cell r="G1060">
            <v>-10.73</v>
          </cell>
          <cell r="H1060">
            <v>2.5999999999999996</v>
          </cell>
        </row>
        <row r="1061">
          <cell r="G1061">
            <v>-12.93</v>
          </cell>
          <cell r="H1061">
            <v>2.1999999999999993</v>
          </cell>
        </row>
        <row r="1062">
          <cell r="G1062">
            <v>-13.73</v>
          </cell>
          <cell r="H1062">
            <v>0.80000000000000071</v>
          </cell>
        </row>
        <row r="1064">
          <cell r="D1064">
            <v>71</v>
          </cell>
        </row>
        <row r="1065">
          <cell r="G1065" t="str">
            <v>土层底绝对标高</v>
          </cell>
          <cell r="H1065" t="str">
            <v>土层厚</v>
          </cell>
        </row>
        <row r="1066">
          <cell r="G1066" t="str">
            <v>（m）</v>
          </cell>
          <cell r="H1066" t="str">
            <v>Li (m)</v>
          </cell>
        </row>
        <row r="1073">
          <cell r="G1073">
            <v>-2.34</v>
          </cell>
        </row>
        <row r="1074">
          <cell r="G1074">
            <v>-7.74</v>
          </cell>
          <cell r="H1074">
            <v>5.4</v>
          </cell>
        </row>
        <row r="1075">
          <cell r="G1075">
            <v>-12.74</v>
          </cell>
          <cell r="H1075">
            <v>5</v>
          </cell>
        </row>
        <row r="1076">
          <cell r="G1076">
            <v>-16.84</v>
          </cell>
          <cell r="H1076">
            <v>4.0999999999999996</v>
          </cell>
        </row>
        <row r="1077">
          <cell r="G1077">
            <v>-17.440000000000001</v>
          </cell>
          <cell r="H1077">
            <v>0.60000000000000142</v>
          </cell>
        </row>
        <row r="1079">
          <cell r="D1079">
            <v>72</v>
          </cell>
        </row>
        <row r="1080">
          <cell r="G1080" t="str">
            <v>土层底绝对标高</v>
          </cell>
          <cell r="H1080" t="str">
            <v>土层厚</v>
          </cell>
        </row>
        <row r="1081">
          <cell r="G1081" t="str">
            <v>（m）</v>
          </cell>
          <cell r="H1081" t="str">
            <v>Li (m)</v>
          </cell>
        </row>
        <row r="1088">
          <cell r="G1088">
            <v>-2.48</v>
          </cell>
        </row>
        <row r="1089">
          <cell r="G1089">
            <v>-7.58</v>
          </cell>
          <cell r="H1089">
            <v>5.0999999999999996</v>
          </cell>
        </row>
        <row r="1090">
          <cell r="G1090">
            <v>-13.68</v>
          </cell>
          <cell r="H1090">
            <v>6.1</v>
          </cell>
        </row>
        <row r="1091">
          <cell r="G1091">
            <v>-17.079999999999998</v>
          </cell>
          <cell r="H1091">
            <v>3.3999999999999986</v>
          </cell>
        </row>
        <row r="1092">
          <cell r="G1092">
            <v>-17.68</v>
          </cell>
          <cell r="H1092">
            <v>0.60000000000000142</v>
          </cell>
        </row>
        <row r="1094">
          <cell r="D1094">
            <v>73</v>
          </cell>
        </row>
        <row r="1095">
          <cell r="G1095" t="str">
            <v>土层底绝对标高</v>
          </cell>
          <cell r="H1095" t="str">
            <v>土层厚</v>
          </cell>
        </row>
        <row r="1096">
          <cell r="G1096" t="str">
            <v>（m）</v>
          </cell>
          <cell r="H1096" t="str">
            <v>Li (m)</v>
          </cell>
        </row>
        <row r="1103">
          <cell r="G1103">
            <v>-1.58</v>
          </cell>
        </row>
        <row r="1104">
          <cell r="G1104">
            <v>-8.48</v>
          </cell>
          <cell r="H1104">
            <v>6.9</v>
          </cell>
        </row>
        <row r="1105">
          <cell r="G1105">
            <v>-16.18</v>
          </cell>
          <cell r="H1105">
            <v>7.6999999999999993</v>
          </cell>
        </row>
        <row r="1106">
          <cell r="G1106">
            <v>-20.98</v>
          </cell>
          <cell r="H1106">
            <v>4.8000000000000007</v>
          </cell>
        </row>
        <row r="1107">
          <cell r="G1107">
            <v>-21.78</v>
          </cell>
          <cell r="H1107">
            <v>0.80000000000000071</v>
          </cell>
        </row>
        <row r="1109">
          <cell r="D1109">
            <v>74</v>
          </cell>
        </row>
        <row r="1110">
          <cell r="G1110" t="str">
            <v>土层底绝对标高</v>
          </cell>
          <cell r="H1110" t="str">
            <v>土层厚</v>
          </cell>
        </row>
        <row r="1111">
          <cell r="G1111" t="str">
            <v>（m）</v>
          </cell>
          <cell r="H1111" t="str">
            <v>Li (m)</v>
          </cell>
        </row>
        <row r="1118">
          <cell r="G1118">
            <v>-1.77</v>
          </cell>
        </row>
        <row r="1119">
          <cell r="G1119">
            <v>-8.27</v>
          </cell>
          <cell r="H1119">
            <v>6.5</v>
          </cell>
        </row>
        <row r="1120">
          <cell r="G1120">
            <v>-16.37</v>
          </cell>
          <cell r="H1120">
            <v>8.1000000000000014</v>
          </cell>
        </row>
        <row r="1121">
          <cell r="G1121">
            <v>-19.170000000000002</v>
          </cell>
          <cell r="H1121">
            <v>2.8000000000000007</v>
          </cell>
        </row>
        <row r="1122">
          <cell r="G1122">
            <v>-19.87</v>
          </cell>
          <cell r="H1122">
            <v>0.69999999999999929</v>
          </cell>
        </row>
        <row r="1124">
          <cell r="D1124">
            <v>75</v>
          </cell>
        </row>
        <row r="1125">
          <cell r="G1125" t="str">
            <v>土层底绝对标高</v>
          </cell>
          <cell r="H1125" t="str">
            <v>土层厚</v>
          </cell>
        </row>
        <row r="1126">
          <cell r="G1126" t="str">
            <v>（m）</v>
          </cell>
          <cell r="H1126" t="str">
            <v>Li (m)</v>
          </cell>
        </row>
        <row r="1133">
          <cell r="G1133">
            <v>-1.57</v>
          </cell>
        </row>
        <row r="1134">
          <cell r="G1134">
            <v>-8.07</v>
          </cell>
          <cell r="H1134">
            <v>6.5</v>
          </cell>
        </row>
        <row r="1135">
          <cell r="G1135">
            <v>-15.77</v>
          </cell>
          <cell r="H1135">
            <v>7.6999999999999993</v>
          </cell>
        </row>
        <row r="1136">
          <cell r="G1136">
            <v>-20.27</v>
          </cell>
          <cell r="H1136">
            <v>4.5</v>
          </cell>
        </row>
        <row r="1137">
          <cell r="G1137">
            <v>-20.77</v>
          </cell>
          <cell r="H1137">
            <v>0.5</v>
          </cell>
        </row>
        <row r="1139">
          <cell r="D1139">
            <v>76</v>
          </cell>
        </row>
        <row r="1140">
          <cell r="G1140" t="str">
            <v>土层底绝对标高</v>
          </cell>
          <cell r="H1140" t="str">
            <v>土层厚</v>
          </cell>
        </row>
        <row r="1141">
          <cell r="G1141" t="str">
            <v>（m）</v>
          </cell>
          <cell r="H1141" t="str">
            <v>Li (m)</v>
          </cell>
        </row>
        <row r="1148">
          <cell r="G1148">
            <v>-1.18</v>
          </cell>
        </row>
        <row r="1149">
          <cell r="G1149">
            <v>-7.28</v>
          </cell>
          <cell r="H1149">
            <v>6.1000000000000005</v>
          </cell>
        </row>
        <row r="1150">
          <cell r="G1150">
            <v>-13.48</v>
          </cell>
          <cell r="H1150">
            <v>6.2</v>
          </cell>
        </row>
        <row r="1151">
          <cell r="G1151">
            <v>-17.98</v>
          </cell>
          <cell r="H1151">
            <v>4.5</v>
          </cell>
        </row>
        <row r="1152">
          <cell r="H1152">
            <v>-17.98</v>
          </cell>
        </row>
        <row r="1154">
          <cell r="D1154">
            <v>77</v>
          </cell>
        </row>
        <row r="1155">
          <cell r="G1155" t="str">
            <v>土层底绝对标高</v>
          </cell>
          <cell r="H1155" t="str">
            <v>土层厚</v>
          </cell>
        </row>
        <row r="1156">
          <cell r="G1156" t="str">
            <v>（m）</v>
          </cell>
          <cell r="H1156" t="str">
            <v>Li (m)</v>
          </cell>
        </row>
        <row r="1163">
          <cell r="G1163">
            <v>-1.29</v>
          </cell>
        </row>
        <row r="1164">
          <cell r="G1164">
            <v>-7.89</v>
          </cell>
          <cell r="H1164">
            <v>6.6</v>
          </cell>
        </row>
        <row r="1165">
          <cell r="G1165">
            <v>-12.69</v>
          </cell>
          <cell r="H1165">
            <v>4.8</v>
          </cell>
        </row>
        <row r="1166">
          <cell r="G1166">
            <v>-17.39</v>
          </cell>
          <cell r="H1166">
            <v>4.7000000000000011</v>
          </cell>
        </row>
        <row r="1167">
          <cell r="H1167">
            <v>-17.39</v>
          </cell>
        </row>
        <row r="1169">
          <cell r="D1169">
            <v>78</v>
          </cell>
        </row>
        <row r="1170">
          <cell r="G1170" t="str">
            <v>土层底绝对标高</v>
          </cell>
          <cell r="H1170" t="str">
            <v>土层厚</v>
          </cell>
        </row>
        <row r="1171">
          <cell r="G1171" t="str">
            <v>（m）</v>
          </cell>
          <cell r="H1171" t="str">
            <v>Li (m)</v>
          </cell>
        </row>
        <row r="1178">
          <cell r="G1178">
            <v>-1.92</v>
          </cell>
        </row>
        <row r="1179">
          <cell r="G1179">
            <v>-8.32</v>
          </cell>
          <cell r="H1179">
            <v>6.4</v>
          </cell>
        </row>
        <row r="1180">
          <cell r="G1180">
            <v>-12.92</v>
          </cell>
          <cell r="H1180">
            <v>4.5999999999999996</v>
          </cell>
        </row>
        <row r="1181">
          <cell r="G1181">
            <v>-18.920000000000002</v>
          </cell>
          <cell r="H1181">
            <v>6.0000000000000018</v>
          </cell>
        </row>
        <row r="1182">
          <cell r="G1182">
            <v>-20.420000000000002</v>
          </cell>
          <cell r="H1182">
            <v>1.5</v>
          </cell>
        </row>
        <row r="1184">
          <cell r="D1184">
            <v>79</v>
          </cell>
        </row>
        <row r="1185">
          <cell r="G1185" t="str">
            <v>土层底绝对标高</v>
          </cell>
          <cell r="H1185" t="str">
            <v>土层厚</v>
          </cell>
        </row>
        <row r="1186">
          <cell r="G1186" t="str">
            <v>（m）</v>
          </cell>
          <cell r="H1186" t="str">
            <v>Li (m)</v>
          </cell>
        </row>
        <row r="1193">
          <cell r="G1193">
            <v>-1.81</v>
          </cell>
        </row>
        <row r="1194">
          <cell r="G1194">
            <v>-7.81</v>
          </cell>
          <cell r="H1194">
            <v>6</v>
          </cell>
        </row>
        <row r="1195">
          <cell r="G1195">
            <v>-13.01</v>
          </cell>
          <cell r="H1195">
            <v>5.2</v>
          </cell>
        </row>
        <row r="1196">
          <cell r="G1196">
            <v>-17.61</v>
          </cell>
          <cell r="H1196">
            <v>4.5999999999999996</v>
          </cell>
        </row>
        <row r="1197">
          <cell r="G1197">
            <v>-19.41</v>
          </cell>
          <cell r="H1197">
            <v>1.8000000000000007</v>
          </cell>
        </row>
        <row r="1199">
          <cell r="D1199">
            <v>80</v>
          </cell>
        </row>
        <row r="1200">
          <cell r="G1200" t="str">
            <v>土层底绝对标高</v>
          </cell>
          <cell r="H1200" t="str">
            <v>土层厚</v>
          </cell>
        </row>
        <row r="1201">
          <cell r="G1201" t="str">
            <v>（m）</v>
          </cell>
          <cell r="H1201" t="str">
            <v>Li (m)</v>
          </cell>
        </row>
        <row r="1208">
          <cell r="G1208">
            <v>-1.95</v>
          </cell>
        </row>
        <row r="1209">
          <cell r="G1209">
            <v>-7.15</v>
          </cell>
          <cell r="H1209">
            <v>5.2</v>
          </cell>
        </row>
        <row r="1210">
          <cell r="G1210">
            <v>-14.75</v>
          </cell>
          <cell r="H1210">
            <v>7.6</v>
          </cell>
        </row>
        <row r="1211">
          <cell r="G1211">
            <v>-20.05</v>
          </cell>
          <cell r="H1211">
            <v>5.3000000000000007</v>
          </cell>
        </row>
        <row r="1212">
          <cell r="G1212">
            <v>-20.65</v>
          </cell>
          <cell r="H1212">
            <v>0.59999999999999787</v>
          </cell>
        </row>
        <row r="1214">
          <cell r="D1214">
            <v>81</v>
          </cell>
        </row>
        <row r="1215">
          <cell r="G1215" t="str">
            <v>土层底绝对标高</v>
          </cell>
          <cell r="H1215" t="str">
            <v>土层厚</v>
          </cell>
        </row>
        <row r="1216">
          <cell r="G1216" t="str">
            <v>（m）</v>
          </cell>
          <cell r="H1216" t="str">
            <v>Li (m)</v>
          </cell>
        </row>
        <row r="1223">
          <cell r="G1223">
            <v>-1.32</v>
          </cell>
        </row>
        <row r="1224">
          <cell r="G1224">
            <v>-5.52</v>
          </cell>
          <cell r="H1224">
            <v>4.1999999999999993</v>
          </cell>
        </row>
        <row r="1225">
          <cell r="G1225">
            <v>-13.52</v>
          </cell>
          <cell r="H1225">
            <v>8</v>
          </cell>
        </row>
        <row r="1226">
          <cell r="G1226">
            <v>-19.72</v>
          </cell>
          <cell r="H1226">
            <v>6.1999999999999993</v>
          </cell>
        </row>
        <row r="1227">
          <cell r="G1227">
            <v>-20.52</v>
          </cell>
          <cell r="H1227">
            <v>0.80000000000000071</v>
          </cell>
        </row>
        <row r="1229">
          <cell r="D1229">
            <v>82</v>
          </cell>
        </row>
        <row r="1230">
          <cell r="G1230" t="str">
            <v>土层底绝对标高</v>
          </cell>
          <cell r="H1230" t="str">
            <v>土层厚</v>
          </cell>
        </row>
        <row r="1231">
          <cell r="G1231" t="str">
            <v>（m）</v>
          </cell>
          <cell r="H1231" t="str">
            <v>Li (m)</v>
          </cell>
        </row>
        <row r="1238">
          <cell r="G1238">
            <v>-1.95</v>
          </cell>
        </row>
        <row r="1239">
          <cell r="G1239">
            <v>-7.35</v>
          </cell>
          <cell r="H1239">
            <v>5.3999999999999995</v>
          </cell>
        </row>
        <row r="1240">
          <cell r="G1240">
            <v>-16.149999999999999</v>
          </cell>
          <cell r="H1240">
            <v>8.7999999999999989</v>
          </cell>
        </row>
        <row r="1241">
          <cell r="G1241">
            <v>-21.35</v>
          </cell>
          <cell r="H1241">
            <v>5.2000000000000028</v>
          </cell>
        </row>
        <row r="1242">
          <cell r="G1242">
            <v>-25.25</v>
          </cell>
          <cell r="H1242">
            <v>3.8999999999999986</v>
          </cell>
        </row>
        <row r="1244">
          <cell r="D1244">
            <v>83</v>
          </cell>
        </row>
        <row r="1245">
          <cell r="G1245" t="str">
            <v>土层底绝对标高</v>
          </cell>
          <cell r="H1245" t="str">
            <v>土层厚</v>
          </cell>
        </row>
        <row r="1246">
          <cell r="G1246" t="str">
            <v>（m）</v>
          </cell>
          <cell r="H1246" t="str">
            <v>Li (m)</v>
          </cell>
        </row>
        <row r="1253">
          <cell r="G1253">
            <v>-1.89</v>
          </cell>
        </row>
        <row r="1254">
          <cell r="G1254">
            <v>-8.19</v>
          </cell>
          <cell r="H1254">
            <v>6.3</v>
          </cell>
        </row>
        <row r="1255">
          <cell r="G1255">
            <v>-14.09</v>
          </cell>
          <cell r="H1255">
            <v>5.9</v>
          </cell>
        </row>
        <row r="1256">
          <cell r="G1256">
            <v>-17.989999999999998</v>
          </cell>
          <cell r="H1256">
            <v>3.8999999999999986</v>
          </cell>
        </row>
        <row r="1257">
          <cell r="G1257">
            <v>-18.59</v>
          </cell>
          <cell r="H1257">
            <v>0.60000000000000142</v>
          </cell>
        </row>
        <row r="1259">
          <cell r="D1259">
            <v>84</v>
          </cell>
        </row>
        <row r="1260">
          <cell r="G1260" t="str">
            <v>土层底绝对标高</v>
          </cell>
          <cell r="H1260" t="str">
            <v>土层厚</v>
          </cell>
        </row>
        <row r="1261">
          <cell r="G1261" t="str">
            <v>（m）</v>
          </cell>
          <cell r="H1261" t="str">
            <v>Li (m)</v>
          </cell>
        </row>
        <row r="1268">
          <cell r="G1268">
            <v>-2.68</v>
          </cell>
        </row>
        <row r="1269">
          <cell r="G1269">
            <v>-8.7799999999999994</v>
          </cell>
          <cell r="H1269">
            <v>6.1</v>
          </cell>
        </row>
        <row r="1270">
          <cell r="G1270">
            <v>-13.18</v>
          </cell>
          <cell r="H1270">
            <v>4.4000000000000004</v>
          </cell>
        </row>
        <row r="1271">
          <cell r="G1271">
            <v>-18.28</v>
          </cell>
          <cell r="H1271">
            <v>5.1000000000000014</v>
          </cell>
        </row>
        <row r="1272">
          <cell r="G1272">
            <v>-22.28</v>
          </cell>
          <cell r="H1272">
            <v>4</v>
          </cell>
        </row>
        <row r="1274">
          <cell r="D1274">
            <v>85</v>
          </cell>
        </row>
        <row r="1275">
          <cell r="G1275" t="str">
            <v>土层底绝对标高</v>
          </cell>
          <cell r="H1275" t="str">
            <v>土层厚</v>
          </cell>
        </row>
        <row r="1276">
          <cell r="G1276" t="str">
            <v>（m）</v>
          </cell>
          <cell r="H1276" t="str">
            <v>Li (m)</v>
          </cell>
        </row>
        <row r="1283">
          <cell r="G1283">
            <v>-2.84</v>
          </cell>
        </row>
        <row r="1284">
          <cell r="G1284">
            <v>-7.64</v>
          </cell>
          <cell r="H1284">
            <v>4.8</v>
          </cell>
        </row>
        <row r="1285">
          <cell r="G1285">
            <v>-15.54</v>
          </cell>
          <cell r="H1285">
            <v>7.8999999999999995</v>
          </cell>
        </row>
        <row r="1286">
          <cell r="G1286">
            <v>-20.54</v>
          </cell>
          <cell r="H1286">
            <v>5</v>
          </cell>
        </row>
        <row r="1287">
          <cell r="G1287">
            <v>-21.34</v>
          </cell>
          <cell r="H1287">
            <v>0.80000000000000071</v>
          </cell>
        </row>
        <row r="1289">
          <cell r="D1289">
            <v>86</v>
          </cell>
        </row>
        <row r="1290">
          <cell r="G1290" t="str">
            <v>土层底绝对标高</v>
          </cell>
          <cell r="H1290" t="str">
            <v>土层厚</v>
          </cell>
        </row>
        <row r="1291">
          <cell r="G1291" t="str">
            <v>（m）</v>
          </cell>
          <cell r="H1291" t="str">
            <v>Li (m)</v>
          </cell>
        </row>
        <row r="1298">
          <cell r="G1298">
            <v>-1.43</v>
          </cell>
        </row>
        <row r="1299">
          <cell r="G1299">
            <v>-6.63</v>
          </cell>
          <cell r="H1299">
            <v>5.2</v>
          </cell>
        </row>
        <row r="1300">
          <cell r="G1300">
            <v>-13.83</v>
          </cell>
          <cell r="H1300">
            <v>7.2</v>
          </cell>
        </row>
        <row r="1301">
          <cell r="G1301">
            <v>-17.13</v>
          </cell>
          <cell r="H1301">
            <v>3.2999999999999989</v>
          </cell>
        </row>
        <row r="1302">
          <cell r="H1302">
            <v>-17.13</v>
          </cell>
        </row>
        <row r="1304">
          <cell r="D1304">
            <v>87</v>
          </cell>
        </row>
        <row r="1305">
          <cell r="G1305" t="str">
            <v>土层底绝对标高</v>
          </cell>
          <cell r="H1305" t="str">
            <v>土层厚</v>
          </cell>
        </row>
        <row r="1306">
          <cell r="G1306" t="str">
            <v>（m）</v>
          </cell>
          <cell r="H1306" t="str">
            <v>Li (m)</v>
          </cell>
        </row>
        <row r="1313">
          <cell r="G1313">
            <v>-0.99</v>
          </cell>
        </row>
        <row r="1314">
          <cell r="G1314">
            <v>-6.99</v>
          </cell>
          <cell r="H1314">
            <v>6</v>
          </cell>
        </row>
        <row r="1315">
          <cell r="G1315">
            <v>-11.49</v>
          </cell>
          <cell r="H1315">
            <v>4.5</v>
          </cell>
        </row>
        <row r="1316">
          <cell r="G1316">
            <v>-12.59</v>
          </cell>
          <cell r="H1316">
            <v>1.0999999999999996</v>
          </cell>
        </row>
        <row r="1317">
          <cell r="G1317">
            <v>-13.19</v>
          </cell>
          <cell r="H1317">
            <v>0.59999999999999964</v>
          </cell>
        </row>
        <row r="1319">
          <cell r="D1319">
            <v>88</v>
          </cell>
        </row>
        <row r="1320">
          <cell r="G1320" t="str">
            <v>土层底绝对标高</v>
          </cell>
          <cell r="H1320" t="str">
            <v>土层厚</v>
          </cell>
        </row>
        <row r="1321">
          <cell r="G1321" t="str">
            <v>（m）</v>
          </cell>
          <cell r="H1321" t="str">
            <v>Li (m)</v>
          </cell>
        </row>
        <row r="1328">
          <cell r="G1328">
            <v>-1.83</v>
          </cell>
        </row>
        <row r="1329">
          <cell r="G1329">
            <v>-7.03</v>
          </cell>
          <cell r="H1329">
            <v>5.2</v>
          </cell>
        </row>
        <row r="1330">
          <cell r="G1330">
            <v>-12.03</v>
          </cell>
          <cell r="H1330">
            <v>4.9999999999999991</v>
          </cell>
        </row>
        <row r="1331">
          <cell r="G1331">
            <v>-17.03</v>
          </cell>
          <cell r="H1331">
            <v>5.0000000000000018</v>
          </cell>
        </row>
        <row r="1332">
          <cell r="H1332">
            <v>-17.03</v>
          </cell>
        </row>
        <row r="1334">
          <cell r="D1334">
            <v>89</v>
          </cell>
        </row>
        <row r="1335">
          <cell r="G1335" t="str">
            <v>土层底绝对标高</v>
          </cell>
          <cell r="H1335" t="str">
            <v>土层厚</v>
          </cell>
        </row>
        <row r="1336">
          <cell r="G1336" t="str">
            <v>（m）</v>
          </cell>
          <cell r="H1336" t="str">
            <v>Li (m)</v>
          </cell>
        </row>
        <row r="1343">
          <cell r="G1343">
            <v>-2.35</v>
          </cell>
        </row>
        <row r="1344">
          <cell r="G1344">
            <v>-7.85</v>
          </cell>
          <cell r="H1344">
            <v>5.5</v>
          </cell>
        </row>
        <row r="1345">
          <cell r="G1345">
            <v>-13.35</v>
          </cell>
          <cell r="H1345">
            <v>5.5</v>
          </cell>
        </row>
        <row r="1346">
          <cell r="G1346">
            <v>-19.649999999999999</v>
          </cell>
          <cell r="H1346">
            <v>6.2999999999999989</v>
          </cell>
        </row>
        <row r="1347">
          <cell r="G1347">
            <v>-20.149999999999999</v>
          </cell>
          <cell r="H1347">
            <v>0.5</v>
          </cell>
        </row>
        <row r="1349">
          <cell r="D1349">
            <v>90</v>
          </cell>
        </row>
        <row r="1350">
          <cell r="G1350" t="str">
            <v>土层底绝对标高</v>
          </cell>
          <cell r="H1350" t="str">
            <v>土层厚</v>
          </cell>
        </row>
        <row r="1351">
          <cell r="G1351" t="str">
            <v>（m）</v>
          </cell>
          <cell r="H1351" t="str">
            <v>Li (m)</v>
          </cell>
        </row>
        <row r="1358">
          <cell r="G1358">
            <v>-1.96</v>
          </cell>
        </row>
        <row r="1359">
          <cell r="G1359">
            <v>-8.16</v>
          </cell>
          <cell r="H1359">
            <v>6.2</v>
          </cell>
        </row>
        <row r="1360">
          <cell r="G1360">
            <v>-12.66</v>
          </cell>
          <cell r="H1360">
            <v>4.5</v>
          </cell>
        </row>
        <row r="1361">
          <cell r="G1361">
            <v>-19.059999999999999</v>
          </cell>
          <cell r="H1361">
            <v>6.3999999999999986</v>
          </cell>
        </row>
        <row r="1362">
          <cell r="G1362">
            <v>-19.559999999999999</v>
          </cell>
          <cell r="H1362">
            <v>0.5</v>
          </cell>
        </row>
        <row r="1364">
          <cell r="D1364">
            <v>91</v>
          </cell>
        </row>
        <row r="1365">
          <cell r="G1365" t="str">
            <v>土层底绝对标高</v>
          </cell>
          <cell r="H1365" t="str">
            <v>土层厚</v>
          </cell>
        </row>
        <row r="1366">
          <cell r="G1366" t="str">
            <v>（m）</v>
          </cell>
          <cell r="H1366" t="str">
            <v>Li (m)</v>
          </cell>
        </row>
        <row r="1373">
          <cell r="G1373">
            <v>-1.71</v>
          </cell>
        </row>
        <row r="1374">
          <cell r="G1374">
            <v>-7.21</v>
          </cell>
          <cell r="H1374">
            <v>5.5</v>
          </cell>
        </row>
        <row r="1375">
          <cell r="G1375">
            <v>-13.21</v>
          </cell>
          <cell r="H1375">
            <v>6.0000000000000009</v>
          </cell>
        </row>
        <row r="1376">
          <cell r="G1376">
            <v>-15.81</v>
          </cell>
          <cell r="H1376">
            <v>2.5999999999999996</v>
          </cell>
        </row>
        <row r="1377">
          <cell r="G1377">
            <v>-16.91</v>
          </cell>
          <cell r="H1377">
            <v>1.0999999999999996</v>
          </cell>
        </row>
        <row r="1379">
          <cell r="D1379">
            <v>92</v>
          </cell>
        </row>
        <row r="1380">
          <cell r="G1380" t="str">
            <v>土层底绝对标高</v>
          </cell>
          <cell r="H1380" t="str">
            <v>土层厚</v>
          </cell>
        </row>
        <row r="1381">
          <cell r="G1381" t="str">
            <v>（m）</v>
          </cell>
          <cell r="H1381" t="str">
            <v>Li (m)</v>
          </cell>
        </row>
        <row r="1388">
          <cell r="G1388">
            <v>-1.33</v>
          </cell>
        </row>
        <row r="1389">
          <cell r="G1389">
            <v>-7.13</v>
          </cell>
          <cell r="H1389">
            <v>5.8</v>
          </cell>
        </row>
        <row r="1390">
          <cell r="G1390">
            <v>-14.53</v>
          </cell>
          <cell r="H1390">
            <v>7.3999999999999995</v>
          </cell>
        </row>
        <row r="1391">
          <cell r="G1391">
            <v>-19.23</v>
          </cell>
          <cell r="H1391">
            <v>4.7000000000000011</v>
          </cell>
        </row>
        <row r="1392">
          <cell r="G1392">
            <v>-19.829999999999998</v>
          </cell>
          <cell r="H1392">
            <v>0.59999999999999787</v>
          </cell>
        </row>
        <row r="1394">
          <cell r="D1394">
            <v>93</v>
          </cell>
        </row>
        <row r="1395">
          <cell r="G1395" t="str">
            <v>土层底绝对标高</v>
          </cell>
          <cell r="H1395" t="str">
            <v>土层厚</v>
          </cell>
        </row>
        <row r="1396">
          <cell r="G1396" t="str">
            <v>（m）</v>
          </cell>
          <cell r="H1396" t="str">
            <v>Li (m)</v>
          </cell>
        </row>
        <row r="1403">
          <cell r="G1403">
            <v>-1.92</v>
          </cell>
        </row>
        <row r="1404">
          <cell r="G1404">
            <v>-7.22</v>
          </cell>
          <cell r="H1404">
            <v>5.3</v>
          </cell>
        </row>
        <row r="1405">
          <cell r="G1405">
            <v>-15.02</v>
          </cell>
          <cell r="H1405">
            <v>7.8</v>
          </cell>
        </row>
        <row r="1406">
          <cell r="G1406">
            <v>-22.32</v>
          </cell>
          <cell r="H1406">
            <v>7.3000000000000007</v>
          </cell>
        </row>
        <row r="1407">
          <cell r="G1407">
            <v>-23.62</v>
          </cell>
          <cell r="H1407">
            <v>1.3000000000000007</v>
          </cell>
        </row>
        <row r="1409">
          <cell r="D1409">
            <v>94</v>
          </cell>
        </row>
        <row r="1410">
          <cell r="G1410" t="str">
            <v>土层底绝对标高</v>
          </cell>
          <cell r="H1410" t="str">
            <v>土层厚</v>
          </cell>
        </row>
        <row r="1411">
          <cell r="G1411" t="str">
            <v>（m）</v>
          </cell>
          <cell r="H1411" t="str">
            <v>Li (m)</v>
          </cell>
        </row>
        <row r="1418">
          <cell r="G1418">
            <v>-2.29</v>
          </cell>
        </row>
        <row r="1419">
          <cell r="G1419">
            <v>-7.49</v>
          </cell>
          <cell r="H1419">
            <v>5.2</v>
          </cell>
        </row>
        <row r="1420">
          <cell r="G1420">
            <v>-14.39</v>
          </cell>
          <cell r="H1420">
            <v>6.9</v>
          </cell>
        </row>
        <row r="1421">
          <cell r="G1421">
            <v>-18.89</v>
          </cell>
          <cell r="H1421">
            <v>4.5</v>
          </cell>
        </row>
        <row r="1422">
          <cell r="G1422">
            <v>-19.89</v>
          </cell>
          <cell r="H1422">
            <v>1</v>
          </cell>
        </row>
        <row r="1424">
          <cell r="D1424">
            <v>95</v>
          </cell>
        </row>
        <row r="1425">
          <cell r="G1425" t="str">
            <v>土层底绝对标高</v>
          </cell>
          <cell r="H1425" t="str">
            <v>土层厚</v>
          </cell>
        </row>
        <row r="1426">
          <cell r="G1426" t="str">
            <v>（m）</v>
          </cell>
          <cell r="H1426" t="str">
            <v>Li (m)</v>
          </cell>
        </row>
        <row r="1432">
          <cell r="G1432">
            <v>-1.39</v>
          </cell>
        </row>
        <row r="1433">
          <cell r="G1433">
            <v>-3.59</v>
          </cell>
          <cell r="H1433">
            <v>2.2000000000000002</v>
          </cell>
        </row>
        <row r="1434">
          <cell r="G1434">
            <v>-8.69</v>
          </cell>
          <cell r="H1434">
            <v>5.0999999999999996</v>
          </cell>
        </row>
        <row r="1435">
          <cell r="G1435">
            <v>-15.39</v>
          </cell>
          <cell r="H1435">
            <v>6.7000000000000011</v>
          </cell>
        </row>
        <row r="1436">
          <cell r="G1436">
            <v>-20.69</v>
          </cell>
          <cell r="H1436">
            <v>5.3000000000000007</v>
          </cell>
        </row>
        <row r="1437">
          <cell r="G1437">
            <v>-21.89</v>
          </cell>
          <cell r="H1437">
            <v>1.1999999999999993</v>
          </cell>
        </row>
        <row r="1439">
          <cell r="D1439">
            <v>96</v>
          </cell>
        </row>
        <row r="1440">
          <cell r="G1440" t="str">
            <v>土层底绝对标高</v>
          </cell>
          <cell r="H1440" t="str">
            <v>土层厚</v>
          </cell>
        </row>
        <row r="1441">
          <cell r="G1441" t="str">
            <v>（m）</v>
          </cell>
          <cell r="H1441" t="str">
            <v>Li (m)</v>
          </cell>
        </row>
        <row r="1448">
          <cell r="G1448">
            <v>-3.04</v>
          </cell>
        </row>
        <row r="1449">
          <cell r="G1449">
            <v>-10.94</v>
          </cell>
          <cell r="H1449">
            <v>7.8999999999999995</v>
          </cell>
        </row>
        <row r="1450">
          <cell r="G1450">
            <v>-19.54</v>
          </cell>
          <cell r="H1450">
            <v>8.6</v>
          </cell>
        </row>
        <row r="1451">
          <cell r="G1451">
            <v>-20.84</v>
          </cell>
          <cell r="H1451">
            <v>1.3000000000000007</v>
          </cell>
        </row>
        <row r="1452">
          <cell r="G1452">
            <v>-24.64</v>
          </cell>
          <cell r="H1452">
            <v>3.8000000000000007</v>
          </cell>
        </row>
        <row r="1454">
          <cell r="D1454">
            <v>97</v>
          </cell>
        </row>
        <row r="1455">
          <cell r="G1455" t="str">
            <v>土层底绝对标高</v>
          </cell>
          <cell r="H1455" t="str">
            <v>土层厚</v>
          </cell>
        </row>
        <row r="1456">
          <cell r="G1456" t="str">
            <v>（m）</v>
          </cell>
          <cell r="H1456" t="str">
            <v>Li (m)</v>
          </cell>
        </row>
        <row r="1463">
          <cell r="G1463">
            <v>-2.4500000000000002</v>
          </cell>
        </row>
        <row r="1464">
          <cell r="G1464">
            <v>-8.0500000000000007</v>
          </cell>
          <cell r="H1464">
            <v>5.6000000000000005</v>
          </cell>
        </row>
        <row r="1465">
          <cell r="G1465">
            <v>-13.55</v>
          </cell>
          <cell r="H1465">
            <v>5.5</v>
          </cell>
        </row>
        <row r="1466">
          <cell r="G1466">
            <v>-19.05</v>
          </cell>
          <cell r="H1466">
            <v>5.5</v>
          </cell>
        </row>
        <row r="1467">
          <cell r="H1467">
            <v>-19.05</v>
          </cell>
        </row>
        <row r="1469">
          <cell r="D1469">
            <v>98</v>
          </cell>
        </row>
        <row r="1470">
          <cell r="G1470" t="str">
            <v>土层底绝对标高</v>
          </cell>
          <cell r="H1470" t="str">
            <v>土层厚</v>
          </cell>
        </row>
        <row r="1471">
          <cell r="G1471" t="str">
            <v>（m）</v>
          </cell>
          <cell r="H1471" t="str">
            <v>Li (m)</v>
          </cell>
        </row>
        <row r="1478">
          <cell r="G1478">
            <v>-1.7</v>
          </cell>
        </row>
        <row r="1479">
          <cell r="G1479">
            <v>-8.6999999999999993</v>
          </cell>
          <cell r="H1479">
            <v>6.9999999999999991</v>
          </cell>
        </row>
        <row r="1480">
          <cell r="G1480">
            <v>-13.4</v>
          </cell>
          <cell r="H1480">
            <v>4.7000000000000011</v>
          </cell>
        </row>
        <row r="1481">
          <cell r="G1481">
            <v>-16.399999999999999</v>
          </cell>
          <cell r="H1481">
            <v>2.9999999999999982</v>
          </cell>
        </row>
        <row r="1482">
          <cell r="H1482">
            <v>-16.399999999999999</v>
          </cell>
        </row>
        <row r="1484">
          <cell r="D1484">
            <v>99</v>
          </cell>
        </row>
        <row r="1485">
          <cell r="G1485" t="str">
            <v>土层底绝对标高</v>
          </cell>
          <cell r="H1485" t="str">
            <v>土层厚</v>
          </cell>
        </row>
        <row r="1486">
          <cell r="G1486" t="str">
            <v>（m）</v>
          </cell>
          <cell r="H1486" t="str">
            <v>Li (m)</v>
          </cell>
        </row>
        <row r="1493">
          <cell r="G1493">
            <v>-2.82</v>
          </cell>
        </row>
        <row r="1494">
          <cell r="G1494">
            <v>-8.6199999999999992</v>
          </cell>
          <cell r="H1494">
            <v>5.7999999999999989</v>
          </cell>
        </row>
        <row r="1495">
          <cell r="G1495">
            <v>-16.62</v>
          </cell>
          <cell r="H1495">
            <v>8.0000000000000018</v>
          </cell>
        </row>
        <row r="1496">
          <cell r="G1496">
            <v>-20.22</v>
          </cell>
          <cell r="H1496">
            <v>3.5999999999999979</v>
          </cell>
        </row>
        <row r="1497">
          <cell r="H1497">
            <v>-20.22</v>
          </cell>
        </row>
        <row r="1499">
          <cell r="D1499">
            <v>100</v>
          </cell>
        </row>
        <row r="1500">
          <cell r="G1500" t="str">
            <v>土层底绝对标高</v>
          </cell>
          <cell r="H1500" t="str">
            <v>土层厚</v>
          </cell>
        </row>
        <row r="1501">
          <cell r="G1501" t="str">
            <v>（m）</v>
          </cell>
          <cell r="H1501" t="str">
            <v>Li (m)</v>
          </cell>
        </row>
        <row r="1508">
          <cell r="G1508">
            <v>0</v>
          </cell>
        </row>
        <row r="1509">
          <cell r="G1509">
            <v>0</v>
          </cell>
          <cell r="H1509">
            <v>0</v>
          </cell>
        </row>
        <row r="1510">
          <cell r="G1510">
            <v>0</v>
          </cell>
          <cell r="H1510">
            <v>0</v>
          </cell>
        </row>
        <row r="1511">
          <cell r="G1511">
            <v>0</v>
          </cell>
          <cell r="H1511">
            <v>0</v>
          </cell>
        </row>
        <row r="1512">
          <cell r="G1512">
            <v>0</v>
          </cell>
          <cell r="H1512">
            <v>0</v>
          </cell>
        </row>
        <row r="1514">
          <cell r="D1514">
            <v>101</v>
          </cell>
        </row>
        <row r="1515">
          <cell r="G1515" t="str">
            <v>土层底绝对标高</v>
          </cell>
          <cell r="H1515" t="str">
            <v>土层厚</v>
          </cell>
        </row>
        <row r="1516">
          <cell r="G1516" t="str">
            <v>（m）</v>
          </cell>
          <cell r="H1516" t="str">
            <v>Li (m)</v>
          </cell>
        </row>
        <row r="1523">
          <cell r="G1523">
            <v>-2.23</v>
          </cell>
        </row>
        <row r="1524">
          <cell r="G1524">
            <v>-5.23</v>
          </cell>
          <cell r="H1524">
            <v>3.0000000000000004</v>
          </cell>
        </row>
        <row r="1525">
          <cell r="G1525">
            <v>-10.23</v>
          </cell>
          <cell r="H1525">
            <v>5</v>
          </cell>
        </row>
        <row r="1526">
          <cell r="G1526">
            <v>-11.33</v>
          </cell>
          <cell r="H1526">
            <v>1.0999999999999996</v>
          </cell>
        </row>
        <row r="1527">
          <cell r="G1527">
            <v>-11.83</v>
          </cell>
          <cell r="H1527">
            <v>0.5</v>
          </cell>
        </row>
        <row r="1529">
          <cell r="D1529">
            <v>102</v>
          </cell>
        </row>
        <row r="1530">
          <cell r="G1530" t="str">
            <v>土层底绝对标高</v>
          </cell>
          <cell r="H1530" t="str">
            <v>土层厚</v>
          </cell>
        </row>
        <row r="1531">
          <cell r="G1531" t="str">
            <v>（m）</v>
          </cell>
          <cell r="H1531" t="str">
            <v>Li (m)</v>
          </cell>
        </row>
        <row r="1538">
          <cell r="G1538">
            <v>-0.34</v>
          </cell>
        </row>
        <row r="1539">
          <cell r="G1539">
            <v>-6.84</v>
          </cell>
          <cell r="H1539">
            <v>6.5</v>
          </cell>
        </row>
        <row r="1540">
          <cell r="G1540">
            <v>-11.84</v>
          </cell>
          <cell r="H1540">
            <v>5</v>
          </cell>
        </row>
        <row r="1541">
          <cell r="G1541">
            <v>-14.44</v>
          </cell>
          <cell r="H1541">
            <v>2.5999999999999996</v>
          </cell>
        </row>
        <row r="1542">
          <cell r="G1542">
            <v>-14.94</v>
          </cell>
          <cell r="H1542">
            <v>0.5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桩"/>
      <sheetName val="2桩-1"/>
      <sheetName val="2桩-2"/>
      <sheetName val="3桩"/>
      <sheetName val="3桩-1"/>
      <sheetName val="3桩-2"/>
      <sheetName val="3桩-3"/>
      <sheetName val="4桩"/>
      <sheetName val="4桩-1"/>
      <sheetName val="5桩"/>
      <sheetName val="5桩-1"/>
      <sheetName val="6桩"/>
      <sheetName val="7桩"/>
      <sheetName val="8桩"/>
      <sheetName val="data"/>
      <sheetName val="summary"/>
    </sheetNames>
    <sheetDataSet>
      <sheetData sheetId="0" refreshError="1">
        <row r="5">
          <cell r="F5" t="str">
            <v>Ruibo Podium</v>
          </cell>
        </row>
        <row r="9">
          <cell r="F9" t="str">
            <v>TX</v>
          </cell>
        </row>
        <row r="14">
          <cell r="F14">
            <v>40994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桩"/>
      <sheetName val="2桩-1"/>
      <sheetName val="2桩-2"/>
      <sheetName val="3桩"/>
      <sheetName val="3桩-1"/>
      <sheetName val="3桩-2"/>
      <sheetName val="3桩-3"/>
      <sheetName val="4桩"/>
      <sheetName val="4桩-1"/>
      <sheetName val="5桩"/>
      <sheetName val="5桩-1"/>
      <sheetName val="6桩"/>
      <sheetName val="7桩"/>
      <sheetName val="8桩"/>
      <sheetName val="data"/>
      <sheetName val="summary"/>
    </sheetNames>
    <sheetDataSet>
      <sheetData sheetId="0">
        <row r="5">
          <cell r="F5" t="str">
            <v>Ruibo Podium</v>
          </cell>
        </row>
        <row r="9">
          <cell r="F9" t="str">
            <v>TX</v>
          </cell>
        </row>
        <row r="14">
          <cell r="F14">
            <v>40994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塔楼抗压桩D850"/>
      <sheetName val="塔楼抗压桩D850-钢筋截断处"/>
      <sheetName val="裙房抗拔桩D700 7-2a 拔"/>
      <sheetName val="裙房抗拔桩D700-拔-钢筋截断处"/>
      <sheetName val="裙房抗拔桩D700 7-2a 压"/>
      <sheetName val="混凝土强度和模量"/>
      <sheetName val="钢筋强度和模量"/>
    </sheetNames>
    <sheetDataSet>
      <sheetData sheetId="0">
        <row r="5">
          <cell r="F5" t="str">
            <v>SHA Ruibo Development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塔楼抗压桩D850"/>
      <sheetName val="塔楼抗压桩D850-钢筋截断处"/>
      <sheetName val="裙房抗拔桩D700 7-2a 拔"/>
      <sheetName val="裙房抗拔桩D700-拔-钢筋截断处"/>
      <sheetName val="裙房抗拔桩D700 7-2a 压"/>
      <sheetName val="混凝土强度和模量"/>
      <sheetName val="钢筋强度和模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C0C0C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C0C0C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59"/>
  <sheetViews>
    <sheetView showGridLines="0" workbookViewId="0">
      <selection activeCell="F9" sqref="F9"/>
    </sheetView>
  </sheetViews>
  <sheetFormatPr defaultRowHeight="12.75" x14ac:dyDescent="0.2"/>
  <cols>
    <col min="1" max="1" width="1.42578125" style="39" customWidth="1"/>
    <col min="2" max="2" width="7.140625" style="39" customWidth="1"/>
    <col min="3" max="5" width="8.7109375" style="39" customWidth="1"/>
    <col min="6" max="6" width="50.7109375" style="39" customWidth="1"/>
    <col min="7" max="7" width="1.7109375" style="39" customWidth="1"/>
    <col min="8" max="16384" width="9.140625" style="39"/>
  </cols>
  <sheetData>
    <row r="1" spans="2:6" x14ac:dyDescent="0.2">
      <c r="B1" s="35"/>
      <c r="C1" s="35"/>
    </row>
    <row r="2" spans="2:6" x14ac:dyDescent="0.2">
      <c r="B2" s="35"/>
      <c r="C2" s="35"/>
    </row>
    <row r="3" spans="2:6" x14ac:dyDescent="0.2">
      <c r="B3" s="35"/>
      <c r="C3" s="35"/>
    </row>
    <row r="4" spans="2:6" x14ac:dyDescent="0.2">
      <c r="B4" s="35"/>
      <c r="C4" s="35"/>
    </row>
    <row r="5" spans="2:6" x14ac:dyDescent="0.2">
      <c r="B5" s="35" t="s">
        <v>0</v>
      </c>
      <c r="C5" s="35"/>
      <c r="D5" s="43"/>
      <c r="E5" s="43"/>
      <c r="F5" s="99" t="s">
        <v>319</v>
      </c>
    </row>
    <row r="6" spans="2:6" ht="8.1" customHeight="1" x14ac:dyDescent="0.2">
      <c r="B6" s="35"/>
      <c r="C6" s="35"/>
    </row>
    <row r="7" spans="2:6" x14ac:dyDescent="0.2">
      <c r="B7" s="35" t="s">
        <v>1</v>
      </c>
      <c r="C7" s="35"/>
      <c r="D7" s="43"/>
      <c r="E7" s="43"/>
      <c r="F7" s="1"/>
    </row>
    <row r="8" spans="2:6" ht="8.1" customHeight="1" x14ac:dyDescent="0.2">
      <c r="B8" s="35"/>
      <c r="C8" s="35"/>
    </row>
    <row r="9" spans="2:6" x14ac:dyDescent="0.2">
      <c r="B9" s="35" t="s">
        <v>2</v>
      </c>
      <c r="C9" s="35"/>
      <c r="D9" s="43"/>
      <c r="E9" s="43"/>
      <c r="F9" s="60" t="s">
        <v>320</v>
      </c>
    </row>
    <row r="10" spans="2:6" ht="8.1" customHeight="1" x14ac:dyDescent="0.2">
      <c r="B10" s="35"/>
      <c r="C10" s="35"/>
    </row>
    <row r="11" spans="2:6" x14ac:dyDescent="0.2">
      <c r="B11" s="35" t="s">
        <v>27</v>
      </c>
      <c r="C11" s="35"/>
      <c r="D11" s="43"/>
      <c r="E11" s="43"/>
      <c r="F11" s="1" t="s">
        <v>36</v>
      </c>
    </row>
    <row r="12" spans="2:6" ht="8.1" customHeight="1" x14ac:dyDescent="0.2">
      <c r="B12" s="35"/>
      <c r="C12" s="35"/>
    </row>
    <row r="13" spans="2:6" s="8" customFormat="1" x14ac:dyDescent="0.2">
      <c r="B13" s="34" t="s">
        <v>28</v>
      </c>
      <c r="C13" s="34"/>
      <c r="F13" s="53">
        <f ca="1">TODAY()</f>
        <v>42943</v>
      </c>
    </row>
    <row r="14" spans="2:6" ht="8.1" customHeight="1" x14ac:dyDescent="0.2">
      <c r="B14" s="35"/>
      <c r="C14" s="35"/>
    </row>
    <row r="15" spans="2:6" s="8" customFormat="1" ht="25.5" customHeight="1" x14ac:dyDescent="0.2">
      <c r="B15" s="34" t="s">
        <v>3</v>
      </c>
      <c r="C15" s="34"/>
      <c r="F15" s="32" t="s">
        <v>46</v>
      </c>
    </row>
    <row r="16" spans="2:6" ht="8.1" customHeight="1" x14ac:dyDescent="0.2">
      <c r="B16" s="35"/>
      <c r="C16" s="35"/>
    </row>
    <row r="17" spans="2:6" x14ac:dyDescent="0.2">
      <c r="B17" s="35" t="s">
        <v>35</v>
      </c>
      <c r="F17" s="31" t="s">
        <v>36</v>
      </c>
    </row>
    <row r="18" spans="2:6" ht="8.1" customHeight="1" x14ac:dyDescent="0.2">
      <c r="B18" s="35"/>
      <c r="C18" s="35"/>
    </row>
    <row r="19" spans="2:6" s="8" customFormat="1" x14ac:dyDescent="0.2">
      <c r="B19" s="34" t="s">
        <v>29</v>
      </c>
      <c r="C19" s="34"/>
      <c r="E19" s="35"/>
      <c r="F19" s="31" t="s">
        <v>36</v>
      </c>
    </row>
    <row r="20" spans="2:6" ht="8.1" customHeight="1" x14ac:dyDescent="0.2">
      <c r="B20" s="35"/>
      <c r="C20" s="35"/>
    </row>
    <row r="21" spans="2:6" s="8" customFormat="1" x14ac:dyDescent="0.2">
      <c r="B21" s="34" t="s">
        <v>30</v>
      </c>
      <c r="C21" s="34"/>
      <c r="E21" s="35"/>
      <c r="F21" s="31" t="s">
        <v>36</v>
      </c>
    </row>
    <row r="22" spans="2:6" x14ac:dyDescent="0.2">
      <c r="B22" s="35"/>
      <c r="C22" s="35"/>
    </row>
    <row r="23" spans="2:6" ht="25.5" customHeight="1" x14ac:dyDescent="0.2">
      <c r="B23" s="34" t="s">
        <v>4</v>
      </c>
      <c r="C23" s="35"/>
      <c r="F23" s="51" t="str">
        <f ca="1">IF(CELL("filename")="","",LEFT(CELL("filename"),FIND("]",CELL("filename"))))</f>
        <v>Z:\LIVAT Shanghai-240736\4-11 Foundation\Digital update\[IKEA_ podium桩承载力计算_上海规范_20170727.xlsm]</v>
      </c>
    </row>
    <row r="24" spans="2:6" x14ac:dyDescent="0.2">
      <c r="B24" s="35"/>
      <c r="C24" s="35"/>
    </row>
    <row r="25" spans="2:6" ht="12.75" customHeight="1" x14ac:dyDescent="0.2">
      <c r="B25" s="36"/>
      <c r="C25" s="40"/>
      <c r="D25" s="36"/>
      <c r="E25" s="36"/>
      <c r="F25" s="14"/>
    </row>
    <row r="26" spans="2:6" ht="12.75" customHeight="1" x14ac:dyDescent="0.2">
      <c r="B26" s="35" t="s">
        <v>14</v>
      </c>
      <c r="E26" s="36"/>
      <c r="F26" s="14"/>
    </row>
    <row r="27" spans="2:6" ht="8.1" customHeight="1" x14ac:dyDescent="0.2">
      <c r="B27" s="35"/>
      <c r="C27" s="35"/>
    </row>
    <row r="28" spans="2:6" ht="12.75" customHeight="1" x14ac:dyDescent="0.2">
      <c r="B28" s="44" t="s">
        <v>10</v>
      </c>
      <c r="C28" s="45"/>
      <c r="D28" s="44" t="s">
        <v>11</v>
      </c>
      <c r="E28" s="46"/>
      <c r="F28" s="18"/>
    </row>
    <row r="29" spans="2:6" ht="12.75" customHeight="1" x14ac:dyDescent="0.2">
      <c r="B29" s="47" t="s">
        <v>47</v>
      </c>
      <c r="C29" s="45"/>
      <c r="D29" s="47"/>
      <c r="E29" s="46"/>
      <c r="F29" s="18"/>
    </row>
    <row r="30" spans="2:6" ht="12.75" customHeight="1" x14ac:dyDescent="0.2">
      <c r="B30" s="47" t="s">
        <v>48</v>
      </c>
      <c r="C30" s="45"/>
      <c r="D30" s="47"/>
      <c r="E30" s="46"/>
      <c r="F30" s="18"/>
    </row>
    <row r="31" spans="2:6" ht="12.75" customHeight="1" x14ac:dyDescent="0.2">
      <c r="B31" s="47"/>
      <c r="C31" s="45"/>
      <c r="D31" s="47"/>
      <c r="E31" s="46"/>
      <c r="F31" s="18"/>
    </row>
    <row r="32" spans="2:6" ht="12.75" customHeight="1" x14ac:dyDescent="0.2">
      <c r="B32" s="47"/>
      <c r="C32" s="45"/>
      <c r="D32" s="47"/>
      <c r="E32" s="46"/>
      <c r="F32" s="18"/>
    </row>
    <row r="33" spans="2:6" ht="12.75" customHeight="1" x14ac:dyDescent="0.2">
      <c r="B33" s="47"/>
      <c r="C33" s="45"/>
      <c r="D33" s="47"/>
      <c r="E33" s="46"/>
      <c r="F33" s="18"/>
    </row>
    <row r="34" spans="2:6" ht="12.75" customHeight="1" x14ac:dyDescent="0.2">
      <c r="B34" s="47"/>
      <c r="C34" s="45"/>
      <c r="D34" s="47"/>
      <c r="E34" s="46"/>
      <c r="F34" s="18"/>
    </row>
    <row r="35" spans="2:6" ht="12.75" customHeight="1" x14ac:dyDescent="0.2">
      <c r="B35" s="47"/>
      <c r="C35" s="45"/>
      <c r="D35" s="47"/>
      <c r="E35" s="46"/>
      <c r="F35" s="18"/>
    </row>
    <row r="36" spans="2:6" ht="12.75" customHeight="1" x14ac:dyDescent="0.2">
      <c r="B36" s="47"/>
      <c r="C36" s="45"/>
      <c r="D36" s="47"/>
      <c r="E36" s="46"/>
      <c r="F36" s="18"/>
    </row>
    <row r="37" spans="2:6" ht="12.75" customHeight="1" x14ac:dyDescent="0.2">
      <c r="E37" s="36"/>
      <c r="F37" s="14"/>
    </row>
    <row r="38" spans="2:6" ht="12.75" customHeight="1" x14ac:dyDescent="0.2">
      <c r="B38" s="36"/>
      <c r="C38" s="40"/>
      <c r="D38" s="36"/>
      <c r="E38" s="36"/>
      <c r="F38" s="14"/>
    </row>
    <row r="39" spans="2:6" ht="12.75" customHeight="1" x14ac:dyDescent="0.2">
      <c r="B39" s="37" t="s">
        <v>12</v>
      </c>
      <c r="C39" s="40"/>
      <c r="D39" s="36"/>
      <c r="E39" s="36"/>
      <c r="F39" s="14"/>
    </row>
    <row r="40" spans="2:6" ht="8.1" customHeight="1" x14ac:dyDescent="0.2">
      <c r="B40" s="35"/>
      <c r="C40" s="35"/>
    </row>
    <row r="41" spans="2:6" ht="12.75" customHeight="1" x14ac:dyDescent="0.2">
      <c r="B41" s="36" t="s">
        <v>13</v>
      </c>
      <c r="C41" s="40"/>
      <c r="D41" s="36"/>
      <c r="E41" s="36"/>
      <c r="F41" s="41"/>
    </row>
    <row r="42" spans="2:6" ht="8.1" customHeight="1" x14ac:dyDescent="0.2">
      <c r="B42" s="35"/>
      <c r="C42" s="35"/>
    </row>
    <row r="43" spans="2:6" s="15" customFormat="1" ht="20.100000000000001" customHeight="1" x14ac:dyDescent="0.2">
      <c r="B43" s="16" t="s">
        <v>26</v>
      </c>
      <c r="C43" s="16"/>
      <c r="D43" s="38"/>
      <c r="E43" s="38" t="s">
        <v>32</v>
      </c>
      <c r="F43" s="273" t="s">
        <v>321</v>
      </c>
    </row>
    <row r="44" spans="2:6" ht="8.1" customHeight="1" x14ac:dyDescent="0.2">
      <c r="B44" s="35"/>
      <c r="C44" s="35"/>
    </row>
    <row r="45" spans="2:6" s="15" customFormat="1" ht="20.100000000000001" customHeight="1" x14ac:dyDescent="0.2">
      <c r="B45" s="38"/>
      <c r="C45" s="16"/>
      <c r="D45" s="38"/>
      <c r="E45" s="38" t="s">
        <v>33</v>
      </c>
      <c r="F45" s="42"/>
    </row>
    <row r="46" spans="2:6" ht="12.75" customHeight="1" x14ac:dyDescent="0.2">
      <c r="B46" s="36"/>
      <c r="C46" s="40"/>
      <c r="D46" s="36"/>
      <c r="E46" s="36"/>
      <c r="F46" s="14"/>
    </row>
    <row r="47" spans="2:6" x14ac:dyDescent="0.2">
      <c r="B47" s="35"/>
      <c r="C47" s="35"/>
    </row>
    <row r="48" spans="2:6" x14ac:dyDescent="0.2">
      <c r="B48" s="35" t="s">
        <v>5</v>
      </c>
      <c r="C48" s="35"/>
      <c r="E48" s="33" t="s">
        <v>34</v>
      </c>
      <c r="F48" s="52"/>
    </row>
    <row r="49" spans="2:6" ht="8.1" customHeight="1" x14ac:dyDescent="0.2">
      <c r="C49" s="35"/>
    </row>
    <row r="50" spans="2:6" ht="12.75" customHeight="1" x14ac:dyDescent="0.2">
      <c r="B50" s="25" t="s">
        <v>15</v>
      </c>
      <c r="C50" s="25" t="s">
        <v>6</v>
      </c>
      <c r="D50" s="26" t="s">
        <v>7</v>
      </c>
      <c r="E50" s="26" t="s">
        <v>9</v>
      </c>
      <c r="F50" s="48" t="s">
        <v>8</v>
      </c>
    </row>
    <row r="51" spans="2:6" ht="12.75" customHeight="1" x14ac:dyDescent="0.2">
      <c r="B51" s="50"/>
      <c r="C51" s="22"/>
      <c r="D51" s="9"/>
      <c r="E51" s="9"/>
      <c r="F51" s="10"/>
    </row>
    <row r="52" spans="2:6" ht="12.75" customHeight="1" x14ac:dyDescent="0.2">
      <c r="B52" s="9"/>
      <c r="C52" s="22"/>
      <c r="D52" s="9"/>
      <c r="E52" s="9"/>
      <c r="F52" s="10"/>
    </row>
    <row r="53" spans="2:6" ht="12.75" customHeight="1" x14ac:dyDescent="0.2">
      <c r="B53" s="9"/>
      <c r="C53" s="22"/>
      <c r="D53" s="9"/>
      <c r="E53" s="9"/>
      <c r="F53" s="10"/>
    </row>
    <row r="54" spans="2:6" customFormat="1" ht="12.75" customHeight="1" x14ac:dyDescent="0.2"/>
    <row r="55" spans="2:6" customFormat="1" ht="12.75" customHeight="1" x14ac:dyDescent="0.2"/>
    <row r="56" spans="2:6" s="49" customFormat="1" ht="12.75" customHeight="1" x14ac:dyDescent="0.2"/>
    <row r="57" spans="2:6" s="49" customFormat="1" ht="12.75" customHeight="1" x14ac:dyDescent="0.2"/>
    <row r="58" spans="2:6" s="49" customFormat="1" ht="12.75" customHeight="1" x14ac:dyDescent="0.2"/>
    <row r="59" spans="2:6" ht="12.75" customHeight="1" x14ac:dyDescent="0.2">
      <c r="B59" s="36"/>
      <c r="C59" s="40"/>
      <c r="D59" s="36"/>
      <c r="E59" s="36"/>
      <c r="F59" s="14"/>
    </row>
  </sheetData>
  <phoneticPr fontId="0" type="noConversion"/>
  <pageMargins left="0.59055118110236227" right="0.59055118110236227" top="0.59055118110236227" bottom="0.7" header="0.51181102362204722" footer="0.38"/>
  <pageSetup paperSize="9" orientation="portrait" r:id="rId1"/>
  <headerFooter alignWithMargins="0">
    <oddFooter>&amp;R&amp;8Page &amp;P of &amp;N
Printed &amp;D  Time &amp;T&amp;L&amp;"Arial,Regular"&amp;8&amp;Z_x000D_&amp;F : &amp;A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56"/>
  <sheetViews>
    <sheetView showGridLines="0" workbookViewId="0">
      <selection activeCell="C47" sqref="C47"/>
    </sheetView>
  </sheetViews>
  <sheetFormatPr defaultRowHeight="12.75" x14ac:dyDescent="0.2"/>
  <cols>
    <col min="1" max="1" width="1.42578125" style="4" customWidth="1"/>
    <col min="2" max="2" width="10.7109375" style="17" customWidth="1"/>
    <col min="3" max="3" width="34.140625" style="7" customWidth="1"/>
    <col min="4" max="4" width="41.7109375" style="24" customWidth="1"/>
    <col min="5" max="5" width="2.140625" style="7" customWidth="1"/>
    <col min="6" max="6" width="50.7109375" style="4" customWidth="1"/>
    <col min="7" max="7" width="1.7109375" style="4" customWidth="1"/>
    <col min="8" max="16384" width="9.140625" style="4"/>
  </cols>
  <sheetData>
    <row r="1" spans="2:6" ht="12.75" customHeight="1" x14ac:dyDescent="0.2">
      <c r="B1" s="11"/>
      <c r="C1" s="12"/>
      <c r="D1" s="29"/>
      <c r="E1" s="13"/>
      <c r="F1" s="14"/>
    </row>
    <row r="2" spans="2:6" s="19" customFormat="1" x14ac:dyDescent="0.2">
      <c r="B2" s="404" t="s">
        <v>19</v>
      </c>
      <c r="C2" s="404"/>
      <c r="D2" s="2"/>
    </row>
    <row r="3" spans="2:6" ht="8.1" customHeight="1" x14ac:dyDescent="0.2">
      <c r="B3" s="5"/>
      <c r="C3" s="6"/>
    </row>
    <row r="4" spans="2:6" ht="12.75" customHeight="1" x14ac:dyDescent="0.2">
      <c r="B4" s="5"/>
      <c r="C4" s="6"/>
    </row>
    <row r="5" spans="2:6" ht="12.75" customHeight="1" x14ac:dyDescent="0.2">
      <c r="B5" s="5"/>
      <c r="C5" s="6"/>
    </row>
    <row r="6" spans="2:6" s="19" customFormat="1" x14ac:dyDescent="0.2">
      <c r="B6" s="20"/>
      <c r="C6" s="20"/>
      <c r="D6" s="20"/>
    </row>
    <row r="7" spans="2:6" s="19" customFormat="1" x14ac:dyDescent="0.2">
      <c r="B7" s="20"/>
      <c r="C7" s="20"/>
      <c r="D7" s="20"/>
    </row>
    <row r="8" spans="2:6" s="19" customFormat="1" x14ac:dyDescent="0.2">
      <c r="B8" s="404" t="s">
        <v>20</v>
      </c>
      <c r="C8" s="404"/>
      <c r="D8" s="2"/>
    </row>
    <row r="9" spans="2:6" ht="8.1" customHeight="1" x14ac:dyDescent="0.2">
      <c r="B9" s="5"/>
      <c r="C9" s="6"/>
    </row>
    <row r="10" spans="2:6" s="19" customFormat="1" x14ac:dyDescent="0.2">
      <c r="B10" s="20"/>
      <c r="C10" s="20"/>
      <c r="D10" s="20"/>
    </row>
    <row r="11" spans="2:6" s="19" customFormat="1" x14ac:dyDescent="0.2">
      <c r="B11" s="20"/>
      <c r="C11" s="20"/>
      <c r="D11" s="20"/>
    </row>
    <row r="12" spans="2:6" s="19" customFormat="1" x14ac:dyDescent="0.2"/>
    <row r="13" spans="2:6" s="19" customFormat="1" x14ac:dyDescent="0.2"/>
    <row r="14" spans="2:6" s="19" customFormat="1" x14ac:dyDescent="0.2">
      <c r="B14" s="404" t="s">
        <v>21</v>
      </c>
      <c r="C14" s="404"/>
      <c r="D14" s="2"/>
    </row>
    <row r="15" spans="2:6" ht="8.1" customHeight="1" x14ac:dyDescent="0.2">
      <c r="B15" s="5"/>
      <c r="C15" s="6"/>
    </row>
    <row r="16" spans="2:6" ht="12.75" customHeight="1" x14ac:dyDescent="0.2">
      <c r="B16" s="5"/>
      <c r="C16" s="6"/>
    </row>
    <row r="17" spans="2:4" ht="12.75" customHeight="1" x14ac:dyDescent="0.2">
      <c r="B17" s="5"/>
      <c r="C17" s="6"/>
    </row>
    <row r="18" spans="2:4" s="19" customFormat="1" x14ac:dyDescent="0.2"/>
    <row r="19" spans="2:4" s="19" customFormat="1" x14ac:dyDescent="0.2"/>
    <row r="20" spans="2:4" s="19" customFormat="1" x14ac:dyDescent="0.2">
      <c r="B20" s="404" t="s">
        <v>25</v>
      </c>
      <c r="C20" s="404"/>
      <c r="D20" s="2"/>
    </row>
    <row r="21" spans="2:4" ht="8.1" customHeight="1" x14ac:dyDescent="0.2">
      <c r="B21" s="5"/>
      <c r="C21" s="6"/>
    </row>
    <row r="22" spans="2:4" s="19" customFormat="1" ht="14.25" customHeight="1" x14ac:dyDescent="0.2">
      <c r="B22" s="27" t="s">
        <v>6</v>
      </c>
      <c r="C22" s="28" t="s">
        <v>18</v>
      </c>
      <c r="D22" s="28" t="s">
        <v>11</v>
      </c>
    </row>
    <row r="23" spans="2:4" s="19" customFormat="1" ht="14.25" customHeight="1" x14ac:dyDescent="0.2">
      <c r="B23" s="22"/>
      <c r="C23" s="23"/>
      <c r="D23" s="23"/>
    </row>
    <row r="24" spans="2:4" s="19" customFormat="1" ht="14.25" customHeight="1" x14ac:dyDescent="0.2">
      <c r="B24" s="22"/>
      <c r="C24" s="23"/>
      <c r="D24" s="23"/>
    </row>
    <row r="25" spans="2:4" s="19" customFormat="1" ht="14.25" customHeight="1" x14ac:dyDescent="0.2">
      <c r="B25" s="22"/>
      <c r="C25" s="23"/>
      <c r="D25" s="23"/>
    </row>
    <row r="26" spans="2:4" s="19" customFormat="1" ht="14.25" customHeight="1" x14ac:dyDescent="0.2">
      <c r="B26" s="22"/>
      <c r="C26" s="23"/>
      <c r="D26" s="23"/>
    </row>
    <row r="27" spans="2:4" s="19" customFormat="1" ht="14.25" customHeight="1" x14ac:dyDescent="0.2">
      <c r="B27" s="21"/>
      <c r="C27" s="20"/>
      <c r="D27" s="20"/>
    </row>
    <row r="28" spans="2:4" s="19" customFormat="1" ht="14.25" customHeight="1" x14ac:dyDescent="0.2"/>
    <row r="29" spans="2:4" s="19" customFormat="1" x14ac:dyDescent="0.2">
      <c r="B29" s="405" t="s">
        <v>22</v>
      </c>
      <c r="C29" s="405"/>
      <c r="D29" s="3"/>
    </row>
    <row r="30" spans="2:4" ht="8.1" customHeight="1" x14ac:dyDescent="0.2">
      <c r="B30" s="5"/>
      <c r="C30" s="6"/>
    </row>
    <row r="31" spans="2:4" ht="12.75" customHeight="1" x14ac:dyDescent="0.2">
      <c r="B31" s="5"/>
      <c r="C31" s="6"/>
    </row>
    <row r="32" spans="2:4" ht="12.75" customHeight="1" x14ac:dyDescent="0.2">
      <c r="B32" s="5"/>
      <c r="C32" s="6"/>
    </row>
    <row r="33" spans="2:4" s="19" customFormat="1" x14ac:dyDescent="0.2"/>
    <row r="34" spans="2:4" s="19" customFormat="1" x14ac:dyDescent="0.2"/>
    <row r="35" spans="2:4" s="19" customFormat="1" x14ac:dyDescent="0.2">
      <c r="B35" s="404" t="s">
        <v>23</v>
      </c>
      <c r="C35" s="404"/>
      <c r="D35" s="2"/>
    </row>
    <row r="36" spans="2:4" s="19" customFormat="1" x14ac:dyDescent="0.2">
      <c r="B36" s="19" t="s">
        <v>16</v>
      </c>
    </row>
    <row r="37" spans="2:4" ht="8.1" customHeight="1" x14ac:dyDescent="0.2">
      <c r="B37" s="5"/>
      <c r="C37" s="6"/>
    </row>
    <row r="38" spans="2:4" s="19" customFormat="1" ht="14.25" customHeight="1" x14ac:dyDescent="0.2">
      <c r="B38" s="27" t="s">
        <v>6</v>
      </c>
      <c r="C38" s="28" t="s">
        <v>17</v>
      </c>
      <c r="D38" s="28" t="s">
        <v>11</v>
      </c>
    </row>
    <row r="39" spans="2:4" s="19" customFormat="1" ht="14.25" customHeight="1" x14ac:dyDescent="0.2">
      <c r="B39" s="22"/>
      <c r="C39" s="23"/>
      <c r="D39" s="23"/>
    </row>
    <row r="40" spans="2:4" s="19" customFormat="1" ht="14.25" customHeight="1" x14ac:dyDescent="0.2">
      <c r="B40" s="22"/>
      <c r="C40" s="23"/>
      <c r="D40" s="23"/>
    </row>
    <row r="41" spans="2:4" s="19" customFormat="1" ht="14.25" customHeight="1" x14ac:dyDescent="0.2">
      <c r="B41" s="22"/>
      <c r="C41" s="23"/>
      <c r="D41" s="23"/>
    </row>
    <row r="42" spans="2:4" s="19" customFormat="1" ht="14.25" customHeight="1" x14ac:dyDescent="0.2">
      <c r="B42" s="22"/>
      <c r="C42" s="23"/>
      <c r="D42" s="23"/>
    </row>
    <row r="45" spans="2:4" s="30" customFormat="1" x14ac:dyDescent="0.2">
      <c r="B45" s="404" t="s">
        <v>31</v>
      </c>
      <c r="C45" s="404"/>
      <c r="D45" s="2"/>
    </row>
    <row r="46" spans="2:4" ht="8.1" customHeight="1" x14ac:dyDescent="0.2">
      <c r="B46" s="5"/>
      <c r="C46" s="6"/>
    </row>
    <row r="47" spans="2:4" s="19" customFormat="1" x14ac:dyDescent="0.2">
      <c r="B47" s="19" t="s">
        <v>37</v>
      </c>
    </row>
    <row r="48" spans="2:4" s="19" customFormat="1" x14ac:dyDescent="0.2">
      <c r="B48" s="19" t="s">
        <v>44</v>
      </c>
    </row>
    <row r="49" spans="2:2" s="19" customFormat="1" x14ac:dyDescent="0.2">
      <c r="B49" s="19" t="s">
        <v>38</v>
      </c>
    </row>
    <row r="50" spans="2:2" x14ac:dyDescent="0.2">
      <c r="B50" s="17" t="s">
        <v>39</v>
      </c>
    </row>
    <row r="51" spans="2:2" x14ac:dyDescent="0.2">
      <c r="B51" s="17" t="s">
        <v>40</v>
      </c>
    </row>
    <row r="52" spans="2:2" x14ac:dyDescent="0.2">
      <c r="B52" s="17" t="s">
        <v>41</v>
      </c>
    </row>
    <row r="53" spans="2:2" x14ac:dyDescent="0.2">
      <c r="B53" s="17" t="s">
        <v>45</v>
      </c>
    </row>
    <row r="54" spans="2:2" x14ac:dyDescent="0.2">
      <c r="B54" s="17" t="s">
        <v>42</v>
      </c>
    </row>
    <row r="55" spans="2:2" x14ac:dyDescent="0.2">
      <c r="B55" s="17" t="s">
        <v>43</v>
      </c>
    </row>
    <row r="56" spans="2:2" x14ac:dyDescent="0.2">
      <c r="B56" s="17" t="s">
        <v>24</v>
      </c>
    </row>
  </sheetData>
  <mergeCells count="7">
    <mergeCell ref="B8:C8"/>
    <mergeCell ref="B45:C45"/>
    <mergeCell ref="B2:C2"/>
    <mergeCell ref="B14:C14"/>
    <mergeCell ref="B20:C20"/>
    <mergeCell ref="B29:C29"/>
    <mergeCell ref="B35:C35"/>
  </mergeCells>
  <phoneticPr fontId="0" type="noConversion"/>
  <pageMargins left="0.61" right="0.61" top="0.61" bottom="0.71" header="0.5" footer="0.38"/>
  <pageSetup paperSize="9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9"/>
  <sheetViews>
    <sheetView workbookViewId="0">
      <selection activeCell="G14" sqref="G14"/>
    </sheetView>
  </sheetViews>
  <sheetFormatPr defaultRowHeight="12.75" x14ac:dyDescent="0.2"/>
  <cols>
    <col min="2" max="2" width="15.28515625" bestFit="1" customWidth="1"/>
    <col min="3" max="3" width="15.28515625" customWidth="1"/>
    <col min="5" max="5" width="13.85546875" customWidth="1"/>
  </cols>
  <sheetData>
    <row r="1" spans="1:8" ht="13.5" thickTop="1" x14ac:dyDescent="0.2">
      <c r="A1" s="406" t="s">
        <v>144</v>
      </c>
      <c r="B1" s="276" t="s">
        <v>145</v>
      </c>
      <c r="C1" s="277" t="s">
        <v>341</v>
      </c>
      <c r="D1" s="278" t="s">
        <v>146</v>
      </c>
      <c r="E1" s="408" t="s">
        <v>342</v>
      </c>
      <c r="F1" s="408" t="s">
        <v>349</v>
      </c>
      <c r="G1" s="408" t="s">
        <v>350</v>
      </c>
      <c r="H1" s="408" t="s">
        <v>353</v>
      </c>
    </row>
    <row r="2" spans="1:8" x14ac:dyDescent="0.2">
      <c r="A2" s="407"/>
      <c r="B2" s="275" t="s">
        <v>351</v>
      </c>
      <c r="C2" s="275" t="s">
        <v>151</v>
      </c>
      <c r="D2" s="279" t="s">
        <v>147</v>
      </c>
      <c r="E2" s="409"/>
      <c r="F2" s="409"/>
      <c r="G2" s="409"/>
      <c r="H2" s="409"/>
    </row>
    <row r="3" spans="1:8" x14ac:dyDescent="0.2">
      <c r="A3" s="280" t="s">
        <v>152</v>
      </c>
      <c r="B3" s="252">
        <v>0</v>
      </c>
      <c r="C3" s="234">
        <v>0</v>
      </c>
      <c r="D3" s="281">
        <v>0</v>
      </c>
      <c r="E3" s="290"/>
      <c r="F3" s="287">
        <v>4.74</v>
      </c>
      <c r="G3" s="287">
        <v>3.48</v>
      </c>
      <c r="H3" s="287">
        <v>3.48</v>
      </c>
    </row>
    <row r="4" spans="1:8" x14ac:dyDescent="0.2">
      <c r="A4" s="282" t="s">
        <v>123</v>
      </c>
      <c r="B4" s="252">
        <v>0</v>
      </c>
      <c r="C4" s="234">
        <v>0</v>
      </c>
      <c r="D4" s="281">
        <v>0</v>
      </c>
      <c r="E4" s="290" t="s">
        <v>347</v>
      </c>
      <c r="F4" s="287">
        <v>2.1800000000000002</v>
      </c>
      <c r="G4" s="287">
        <v>3.48</v>
      </c>
      <c r="H4" s="287">
        <v>0.1</v>
      </c>
    </row>
    <row r="5" spans="1:8" x14ac:dyDescent="0.2">
      <c r="A5" s="282" t="s">
        <v>124</v>
      </c>
      <c r="B5" s="252">
        <v>15</v>
      </c>
      <c r="C5" s="234">
        <v>0</v>
      </c>
      <c r="D5" s="281">
        <v>0.7</v>
      </c>
      <c r="E5" s="290" t="s">
        <v>347</v>
      </c>
      <c r="F5" s="287">
        <v>0.88</v>
      </c>
      <c r="G5" s="287">
        <v>0.1</v>
      </c>
      <c r="H5" s="287">
        <v>-1.3</v>
      </c>
    </row>
    <row r="6" spans="1:8" x14ac:dyDescent="0.2">
      <c r="A6" s="282" t="s">
        <v>125</v>
      </c>
      <c r="B6" s="252">
        <v>15</v>
      </c>
      <c r="C6" s="234">
        <v>0</v>
      </c>
      <c r="D6" s="281">
        <v>0.7</v>
      </c>
      <c r="E6" s="290" t="s">
        <v>347</v>
      </c>
      <c r="F6" s="287">
        <v>-5.34</v>
      </c>
      <c r="G6" s="287">
        <v>-1.3</v>
      </c>
      <c r="H6" s="287">
        <v>-8.81</v>
      </c>
    </row>
    <row r="7" spans="1:8" x14ac:dyDescent="0.2">
      <c r="A7" s="282" t="s">
        <v>133</v>
      </c>
      <c r="B7" s="252">
        <v>20</v>
      </c>
      <c r="C7" s="234">
        <v>0</v>
      </c>
      <c r="D7" s="281">
        <v>0.7</v>
      </c>
      <c r="E7" s="290" t="s">
        <v>347</v>
      </c>
      <c r="F7" s="287">
        <v>-14.52</v>
      </c>
      <c r="G7" s="287">
        <v>-8.81</v>
      </c>
      <c r="H7" s="287">
        <v>-15.42</v>
      </c>
    </row>
    <row r="8" spans="1:8" x14ac:dyDescent="0.2">
      <c r="A8" s="282" t="s">
        <v>135</v>
      </c>
      <c r="B8" s="252">
        <v>30</v>
      </c>
      <c r="C8" s="234">
        <v>0</v>
      </c>
      <c r="D8" s="281">
        <v>0.7</v>
      </c>
      <c r="E8" s="290" t="s">
        <v>347</v>
      </c>
      <c r="F8" s="287">
        <v>-18.420000000000002</v>
      </c>
      <c r="G8" s="287">
        <v>-15.42</v>
      </c>
      <c r="H8" s="287">
        <v>-20.84</v>
      </c>
    </row>
    <row r="9" spans="1:8" x14ac:dyDescent="0.2">
      <c r="A9" s="282" t="s">
        <v>126</v>
      </c>
      <c r="B9" s="252">
        <v>40</v>
      </c>
      <c r="C9" s="234">
        <v>0</v>
      </c>
      <c r="D9" s="281">
        <v>0.65</v>
      </c>
      <c r="E9" s="290" t="s">
        <v>347</v>
      </c>
      <c r="F9" s="287">
        <v>-24.09</v>
      </c>
      <c r="G9" s="287">
        <v>-20.84</v>
      </c>
      <c r="H9" s="287">
        <v>-31.72</v>
      </c>
    </row>
    <row r="10" spans="1:8" x14ac:dyDescent="0.2">
      <c r="A10" s="282" t="s">
        <v>129</v>
      </c>
      <c r="B10" s="252">
        <v>60</v>
      </c>
      <c r="C10" s="234">
        <v>0</v>
      </c>
      <c r="D10" s="281">
        <v>0.65</v>
      </c>
      <c r="E10" s="290" t="s">
        <v>348</v>
      </c>
      <c r="F10" s="287">
        <v>-31.51</v>
      </c>
      <c r="G10" s="287">
        <v>-29.22</v>
      </c>
      <c r="H10" s="287">
        <v>-38.6</v>
      </c>
    </row>
    <row r="11" spans="1:8" x14ac:dyDescent="0.2">
      <c r="A11" s="282" t="s">
        <v>148</v>
      </c>
      <c r="B11" s="252">
        <v>50</v>
      </c>
      <c r="C11" s="234">
        <v>60</v>
      </c>
      <c r="D11" s="281">
        <v>0.7</v>
      </c>
      <c r="E11" s="290" t="s">
        <v>347</v>
      </c>
      <c r="F11" s="287">
        <v>-36.340000000000003</v>
      </c>
      <c r="G11" s="287">
        <v>-38.6</v>
      </c>
      <c r="H11" s="287">
        <v>-44.09</v>
      </c>
    </row>
    <row r="12" spans="1:8" x14ac:dyDescent="0.2">
      <c r="A12" s="282" t="s">
        <v>149</v>
      </c>
      <c r="B12" s="252">
        <v>55</v>
      </c>
      <c r="C12" s="234">
        <v>0</v>
      </c>
      <c r="D12" s="281">
        <v>0.7</v>
      </c>
      <c r="E12" s="290" t="s">
        <v>347</v>
      </c>
      <c r="F12" s="287">
        <v>-37.840000000000003</v>
      </c>
      <c r="G12" s="287">
        <v>-42.3</v>
      </c>
      <c r="H12" s="287">
        <v>-44.4</v>
      </c>
    </row>
    <row r="13" spans="1:8" x14ac:dyDescent="0.2">
      <c r="A13" s="282" t="s">
        <v>150</v>
      </c>
      <c r="B13" s="252">
        <v>65</v>
      </c>
      <c r="C13" s="234">
        <v>1500</v>
      </c>
      <c r="D13" s="281">
        <v>0.65</v>
      </c>
      <c r="E13" s="290" t="s">
        <v>347</v>
      </c>
      <c r="F13" s="287">
        <v>-43.81</v>
      </c>
      <c r="G13" s="287">
        <v>-41.52</v>
      </c>
      <c r="H13" s="287">
        <v>-44.52</v>
      </c>
    </row>
    <row r="14" spans="1:8" x14ac:dyDescent="0.2">
      <c r="A14" s="282" t="s">
        <v>128</v>
      </c>
      <c r="B14" s="252">
        <v>55</v>
      </c>
      <c r="C14" s="234">
        <v>950</v>
      </c>
      <c r="D14" s="281">
        <v>0.7</v>
      </c>
      <c r="E14" s="290" t="s">
        <v>347</v>
      </c>
      <c r="F14" s="287">
        <v>-55.29</v>
      </c>
      <c r="G14" s="287">
        <v>-44.52</v>
      </c>
      <c r="H14" s="287">
        <v>-64.3</v>
      </c>
    </row>
    <row r="15" spans="1:8" x14ac:dyDescent="0.2">
      <c r="A15" s="282" t="s">
        <v>132</v>
      </c>
      <c r="B15" s="252">
        <v>65</v>
      </c>
      <c r="C15" s="234">
        <v>2000</v>
      </c>
      <c r="D15" s="281">
        <v>0.65</v>
      </c>
      <c r="E15" s="290" t="s">
        <v>348</v>
      </c>
      <c r="F15" s="287">
        <v>-62.12</v>
      </c>
      <c r="G15" s="287">
        <v>-56.02</v>
      </c>
      <c r="H15" s="287">
        <v>-200</v>
      </c>
    </row>
    <row r="16" spans="1:8" x14ac:dyDescent="0.2">
      <c r="A16" s="282" t="s">
        <v>130</v>
      </c>
      <c r="B16" s="252">
        <v>60</v>
      </c>
      <c r="C16" s="234">
        <v>1350</v>
      </c>
      <c r="D16" s="281">
        <v>0.65</v>
      </c>
      <c r="E16" s="290" t="s">
        <v>347</v>
      </c>
      <c r="F16" s="287">
        <v>-63.29</v>
      </c>
      <c r="G16" s="287">
        <v>-64.3</v>
      </c>
      <c r="H16" s="287">
        <v>-73.42</v>
      </c>
    </row>
    <row r="17" spans="1:8" ht="13.5" thickBot="1" x14ac:dyDescent="0.25">
      <c r="A17" s="283" t="s">
        <v>324</v>
      </c>
      <c r="B17" s="284">
        <v>80</v>
      </c>
      <c r="C17" s="285">
        <v>2500</v>
      </c>
      <c r="D17" s="286"/>
      <c r="E17" s="290" t="s">
        <v>348</v>
      </c>
      <c r="F17" s="288">
        <v>-76.02</v>
      </c>
      <c r="G17" s="288">
        <v>-65.02</v>
      </c>
      <c r="H17" s="288">
        <v>-200</v>
      </c>
    </row>
    <row r="18" spans="1:8" ht="13.5" thickTop="1" x14ac:dyDescent="0.2">
      <c r="A18" s="110"/>
    </row>
    <row r="19" spans="1:8" x14ac:dyDescent="0.2">
      <c r="A19" s="110"/>
    </row>
  </sheetData>
  <mergeCells count="5">
    <mergeCell ref="A1:A2"/>
    <mergeCell ref="E1:E2"/>
    <mergeCell ref="F1:F2"/>
    <mergeCell ref="G1:G2"/>
    <mergeCell ref="H1:H2"/>
  </mergeCells>
  <phoneticPr fontId="22" type="noConversion"/>
  <dataValidations count="1">
    <dataValidation type="list" allowBlank="1" showInputMessage="1" showErrorMessage="1" sqref="E4:E17">
      <formula1>"黏性土、粉土,沙土、碎石类土"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43"/>
  <sheetViews>
    <sheetView workbookViewId="0">
      <selection activeCell="N31" sqref="N31"/>
    </sheetView>
  </sheetViews>
  <sheetFormatPr defaultRowHeight="14.25" x14ac:dyDescent="0.2"/>
  <cols>
    <col min="1" max="5" width="9.140625" style="206"/>
    <col min="6" max="6" width="10.140625" style="226" bestFit="1" customWidth="1"/>
    <col min="7" max="13" width="9.140625" style="206"/>
    <col min="14" max="14" width="21.140625" style="206" customWidth="1"/>
    <col min="15" max="261" width="9.140625" style="206"/>
    <col min="262" max="262" width="10.140625" style="206" bestFit="1" customWidth="1"/>
    <col min="263" max="517" width="9.140625" style="206"/>
    <col min="518" max="518" width="10.140625" style="206" bestFit="1" customWidth="1"/>
    <col min="519" max="773" width="9.140625" style="206"/>
    <col min="774" max="774" width="10.140625" style="206" bestFit="1" customWidth="1"/>
    <col min="775" max="1029" width="9.140625" style="206"/>
    <col min="1030" max="1030" width="10.140625" style="206" bestFit="1" customWidth="1"/>
    <col min="1031" max="1285" width="9.140625" style="206"/>
    <col min="1286" max="1286" width="10.140625" style="206" bestFit="1" customWidth="1"/>
    <col min="1287" max="1541" width="9.140625" style="206"/>
    <col min="1542" max="1542" width="10.140625" style="206" bestFit="1" customWidth="1"/>
    <col min="1543" max="1797" width="9.140625" style="206"/>
    <col min="1798" max="1798" width="10.140625" style="206" bestFit="1" customWidth="1"/>
    <col min="1799" max="2053" width="9.140625" style="206"/>
    <col min="2054" max="2054" width="10.140625" style="206" bestFit="1" customWidth="1"/>
    <col min="2055" max="2309" width="9.140625" style="206"/>
    <col min="2310" max="2310" width="10.140625" style="206" bestFit="1" customWidth="1"/>
    <col min="2311" max="2565" width="9.140625" style="206"/>
    <col min="2566" max="2566" width="10.140625" style="206" bestFit="1" customWidth="1"/>
    <col min="2567" max="2821" width="9.140625" style="206"/>
    <col min="2822" max="2822" width="10.140625" style="206" bestFit="1" customWidth="1"/>
    <col min="2823" max="3077" width="9.140625" style="206"/>
    <col min="3078" max="3078" width="10.140625" style="206" bestFit="1" customWidth="1"/>
    <col min="3079" max="3333" width="9.140625" style="206"/>
    <col min="3334" max="3334" width="10.140625" style="206" bestFit="1" customWidth="1"/>
    <col min="3335" max="3589" width="9.140625" style="206"/>
    <col min="3590" max="3590" width="10.140625" style="206" bestFit="1" customWidth="1"/>
    <col min="3591" max="3845" width="9.140625" style="206"/>
    <col min="3846" max="3846" width="10.140625" style="206" bestFit="1" customWidth="1"/>
    <col min="3847" max="4101" width="9.140625" style="206"/>
    <col min="4102" max="4102" width="10.140625" style="206" bestFit="1" customWidth="1"/>
    <col min="4103" max="4357" width="9.140625" style="206"/>
    <col min="4358" max="4358" width="10.140625" style="206" bestFit="1" customWidth="1"/>
    <col min="4359" max="4613" width="9.140625" style="206"/>
    <col min="4614" max="4614" width="10.140625" style="206" bestFit="1" customWidth="1"/>
    <col min="4615" max="4869" width="9.140625" style="206"/>
    <col min="4870" max="4870" width="10.140625" style="206" bestFit="1" customWidth="1"/>
    <col min="4871" max="5125" width="9.140625" style="206"/>
    <col min="5126" max="5126" width="10.140625" style="206" bestFit="1" customWidth="1"/>
    <col min="5127" max="5381" width="9.140625" style="206"/>
    <col min="5382" max="5382" width="10.140625" style="206" bestFit="1" customWidth="1"/>
    <col min="5383" max="5637" width="9.140625" style="206"/>
    <col min="5638" max="5638" width="10.140625" style="206" bestFit="1" customWidth="1"/>
    <col min="5639" max="5893" width="9.140625" style="206"/>
    <col min="5894" max="5894" width="10.140625" style="206" bestFit="1" customWidth="1"/>
    <col min="5895" max="6149" width="9.140625" style="206"/>
    <col min="6150" max="6150" width="10.140625" style="206" bestFit="1" customWidth="1"/>
    <col min="6151" max="6405" width="9.140625" style="206"/>
    <col min="6406" max="6406" width="10.140625" style="206" bestFit="1" customWidth="1"/>
    <col min="6407" max="6661" width="9.140625" style="206"/>
    <col min="6662" max="6662" width="10.140625" style="206" bestFit="1" customWidth="1"/>
    <col min="6663" max="6917" width="9.140625" style="206"/>
    <col min="6918" max="6918" width="10.140625" style="206" bestFit="1" customWidth="1"/>
    <col min="6919" max="7173" width="9.140625" style="206"/>
    <col min="7174" max="7174" width="10.140625" style="206" bestFit="1" customWidth="1"/>
    <col min="7175" max="7429" width="9.140625" style="206"/>
    <col min="7430" max="7430" width="10.140625" style="206" bestFit="1" customWidth="1"/>
    <col min="7431" max="7685" width="9.140625" style="206"/>
    <col min="7686" max="7686" width="10.140625" style="206" bestFit="1" customWidth="1"/>
    <col min="7687" max="7941" width="9.140625" style="206"/>
    <col min="7942" max="7942" width="10.140625" style="206" bestFit="1" customWidth="1"/>
    <col min="7943" max="8197" width="9.140625" style="206"/>
    <col min="8198" max="8198" width="10.140625" style="206" bestFit="1" customWidth="1"/>
    <col min="8199" max="8453" width="9.140625" style="206"/>
    <col min="8454" max="8454" width="10.140625" style="206" bestFit="1" customWidth="1"/>
    <col min="8455" max="8709" width="9.140625" style="206"/>
    <col min="8710" max="8710" width="10.140625" style="206" bestFit="1" customWidth="1"/>
    <col min="8711" max="8965" width="9.140625" style="206"/>
    <col min="8966" max="8966" width="10.140625" style="206" bestFit="1" customWidth="1"/>
    <col min="8967" max="9221" width="9.140625" style="206"/>
    <col min="9222" max="9222" width="10.140625" style="206" bestFit="1" customWidth="1"/>
    <col min="9223" max="9477" width="9.140625" style="206"/>
    <col min="9478" max="9478" width="10.140625" style="206" bestFit="1" customWidth="1"/>
    <col min="9479" max="9733" width="9.140625" style="206"/>
    <col min="9734" max="9734" width="10.140625" style="206" bestFit="1" customWidth="1"/>
    <col min="9735" max="9989" width="9.140625" style="206"/>
    <col min="9990" max="9990" width="10.140625" style="206" bestFit="1" customWidth="1"/>
    <col min="9991" max="10245" width="9.140625" style="206"/>
    <col min="10246" max="10246" width="10.140625" style="206" bestFit="1" customWidth="1"/>
    <col min="10247" max="10501" width="9.140625" style="206"/>
    <col min="10502" max="10502" width="10.140625" style="206" bestFit="1" customWidth="1"/>
    <col min="10503" max="10757" width="9.140625" style="206"/>
    <col min="10758" max="10758" width="10.140625" style="206" bestFit="1" customWidth="1"/>
    <col min="10759" max="11013" width="9.140625" style="206"/>
    <col min="11014" max="11014" width="10.140625" style="206" bestFit="1" customWidth="1"/>
    <col min="11015" max="11269" width="9.140625" style="206"/>
    <col min="11270" max="11270" width="10.140625" style="206" bestFit="1" customWidth="1"/>
    <col min="11271" max="11525" width="9.140625" style="206"/>
    <col min="11526" max="11526" width="10.140625" style="206" bestFit="1" customWidth="1"/>
    <col min="11527" max="11781" width="9.140625" style="206"/>
    <col min="11782" max="11782" width="10.140625" style="206" bestFit="1" customWidth="1"/>
    <col min="11783" max="12037" width="9.140625" style="206"/>
    <col min="12038" max="12038" width="10.140625" style="206" bestFit="1" customWidth="1"/>
    <col min="12039" max="12293" width="9.140625" style="206"/>
    <col min="12294" max="12294" width="10.140625" style="206" bestFit="1" customWidth="1"/>
    <col min="12295" max="12549" width="9.140625" style="206"/>
    <col min="12550" max="12550" width="10.140625" style="206" bestFit="1" customWidth="1"/>
    <col min="12551" max="12805" width="9.140625" style="206"/>
    <col min="12806" max="12806" width="10.140625" style="206" bestFit="1" customWidth="1"/>
    <col min="12807" max="13061" width="9.140625" style="206"/>
    <col min="13062" max="13062" width="10.140625" style="206" bestFit="1" customWidth="1"/>
    <col min="13063" max="13317" width="9.140625" style="206"/>
    <col min="13318" max="13318" width="10.140625" style="206" bestFit="1" customWidth="1"/>
    <col min="13319" max="13573" width="9.140625" style="206"/>
    <col min="13574" max="13574" width="10.140625" style="206" bestFit="1" customWidth="1"/>
    <col min="13575" max="13829" width="9.140625" style="206"/>
    <col min="13830" max="13830" width="10.140625" style="206" bestFit="1" customWidth="1"/>
    <col min="13831" max="14085" width="9.140625" style="206"/>
    <col min="14086" max="14086" width="10.140625" style="206" bestFit="1" customWidth="1"/>
    <col min="14087" max="14341" width="9.140625" style="206"/>
    <col min="14342" max="14342" width="10.140625" style="206" bestFit="1" customWidth="1"/>
    <col min="14343" max="14597" width="9.140625" style="206"/>
    <col min="14598" max="14598" width="10.140625" style="206" bestFit="1" customWidth="1"/>
    <col min="14599" max="14853" width="9.140625" style="206"/>
    <col min="14854" max="14854" width="10.140625" style="206" bestFit="1" customWidth="1"/>
    <col min="14855" max="15109" width="9.140625" style="206"/>
    <col min="15110" max="15110" width="10.140625" style="206" bestFit="1" customWidth="1"/>
    <col min="15111" max="15365" width="9.140625" style="206"/>
    <col min="15366" max="15366" width="10.140625" style="206" bestFit="1" customWidth="1"/>
    <col min="15367" max="15621" width="9.140625" style="206"/>
    <col min="15622" max="15622" width="10.140625" style="206" bestFit="1" customWidth="1"/>
    <col min="15623" max="15877" width="9.140625" style="206"/>
    <col min="15878" max="15878" width="10.140625" style="206" bestFit="1" customWidth="1"/>
    <col min="15879" max="16133" width="9.140625" style="206"/>
    <col min="16134" max="16134" width="10.140625" style="206" bestFit="1" customWidth="1"/>
    <col min="16135" max="16384" width="9.140625" style="206"/>
  </cols>
  <sheetData>
    <row r="1" spans="1:14" ht="16.5" thickTop="1" x14ac:dyDescent="0.3">
      <c r="A1" s="202" t="s">
        <v>254</v>
      </c>
      <c r="B1" s="203" t="s">
        <v>255</v>
      </c>
      <c r="C1" s="204" t="s">
        <v>256</v>
      </c>
      <c r="D1" s="204" t="s">
        <v>257</v>
      </c>
      <c r="E1" s="204" t="s">
        <v>258</v>
      </c>
      <c r="F1" s="205" t="s">
        <v>259</v>
      </c>
      <c r="M1" s="242" t="s">
        <v>299</v>
      </c>
      <c r="N1" s="243"/>
    </row>
    <row r="2" spans="1:14" x14ac:dyDescent="0.2">
      <c r="A2" s="207" t="s">
        <v>260</v>
      </c>
      <c r="B2" s="208">
        <v>7.2</v>
      </c>
      <c r="C2" s="208">
        <v>0.91</v>
      </c>
      <c r="D2" s="208">
        <v>10</v>
      </c>
      <c r="E2" s="208">
        <v>1.27</v>
      </c>
      <c r="F2" s="209">
        <v>22000</v>
      </c>
      <c r="M2" s="244" t="s">
        <v>300</v>
      </c>
      <c r="N2" s="245" t="s">
        <v>301</v>
      </c>
    </row>
    <row r="3" spans="1:14" x14ac:dyDescent="0.2">
      <c r="A3" s="207" t="s">
        <v>261</v>
      </c>
      <c r="B3" s="208">
        <v>9.6</v>
      </c>
      <c r="C3" s="208">
        <v>1.1000000000000001</v>
      </c>
      <c r="D3" s="208">
        <v>13.4</v>
      </c>
      <c r="E3" s="208">
        <v>1.54</v>
      </c>
      <c r="F3" s="209">
        <v>25500</v>
      </c>
      <c r="M3" s="244">
        <v>0.6</v>
      </c>
      <c r="N3" s="245">
        <v>1.2</v>
      </c>
    </row>
    <row r="4" spans="1:14" x14ac:dyDescent="0.2">
      <c r="A4" s="207" t="s">
        <v>262</v>
      </c>
      <c r="B4" s="208">
        <v>11.9</v>
      </c>
      <c r="C4" s="208">
        <v>1.27</v>
      </c>
      <c r="D4" s="208">
        <v>16.7</v>
      </c>
      <c r="E4" s="208">
        <v>1.78</v>
      </c>
      <c r="F4" s="209">
        <v>28000</v>
      </c>
      <c r="M4" s="244">
        <v>0.65</v>
      </c>
      <c r="N4" s="245">
        <v>1.4</v>
      </c>
    </row>
    <row r="5" spans="1:14" x14ac:dyDescent="0.2">
      <c r="A5" s="207" t="s">
        <v>181</v>
      </c>
      <c r="B5" s="208">
        <v>14.3</v>
      </c>
      <c r="C5" s="208">
        <v>1.43</v>
      </c>
      <c r="D5" s="208">
        <v>20.100000000000001</v>
      </c>
      <c r="E5" s="208">
        <v>2.0099999999999998</v>
      </c>
      <c r="F5" s="210">
        <v>30000</v>
      </c>
      <c r="I5" s="211"/>
      <c r="J5" s="211"/>
      <c r="K5" s="211"/>
      <c r="L5" s="211"/>
      <c r="M5" s="244">
        <v>0.7</v>
      </c>
      <c r="N5" s="245">
        <v>1.6</v>
      </c>
    </row>
    <row r="6" spans="1:14" x14ac:dyDescent="0.2">
      <c r="A6" s="207" t="s">
        <v>263</v>
      </c>
      <c r="B6" s="208">
        <v>16.7</v>
      </c>
      <c r="C6" s="208">
        <v>1.57</v>
      </c>
      <c r="D6" s="208">
        <v>23.4</v>
      </c>
      <c r="E6" s="208">
        <v>2.2000000000000002</v>
      </c>
      <c r="F6" s="210">
        <v>31500</v>
      </c>
      <c r="I6" s="211"/>
      <c r="J6" s="211"/>
      <c r="K6" s="211"/>
      <c r="L6" s="211"/>
      <c r="M6" s="244">
        <v>0.75</v>
      </c>
      <c r="N6" s="245">
        <v>1.8</v>
      </c>
    </row>
    <row r="7" spans="1:14" x14ac:dyDescent="0.2">
      <c r="A7" s="207" t="s">
        <v>264</v>
      </c>
      <c r="B7" s="208">
        <v>19.100000000000001</v>
      </c>
      <c r="C7" s="212">
        <v>1.71</v>
      </c>
      <c r="D7" s="208">
        <v>26.8</v>
      </c>
      <c r="E7" s="208">
        <v>2.39</v>
      </c>
      <c r="F7" s="210">
        <v>32500</v>
      </c>
      <c r="I7" s="211"/>
      <c r="J7" s="211"/>
      <c r="K7" s="211"/>
      <c r="L7" s="211"/>
      <c r="M7" s="244">
        <v>0.8</v>
      </c>
      <c r="N7" s="245">
        <v>2</v>
      </c>
    </row>
    <row r="8" spans="1:14" x14ac:dyDescent="0.2">
      <c r="A8" s="207" t="s">
        <v>265</v>
      </c>
      <c r="B8" s="208">
        <v>21.1</v>
      </c>
      <c r="C8" s="208">
        <v>1.8</v>
      </c>
      <c r="D8" s="208">
        <v>29.6</v>
      </c>
      <c r="E8" s="208">
        <v>2.5099999999999998</v>
      </c>
      <c r="F8" s="210">
        <v>33500</v>
      </c>
      <c r="I8" s="211"/>
      <c r="J8" s="211"/>
      <c r="K8" s="211"/>
      <c r="L8" s="211"/>
      <c r="M8" s="244">
        <v>0.85</v>
      </c>
      <c r="N8" s="245">
        <v>2.25</v>
      </c>
    </row>
    <row r="9" spans="1:14" x14ac:dyDescent="0.2">
      <c r="A9" s="207" t="s">
        <v>266</v>
      </c>
      <c r="B9" s="208">
        <v>23.1</v>
      </c>
      <c r="C9" s="208">
        <v>1.89</v>
      </c>
      <c r="D9" s="208">
        <v>32.4</v>
      </c>
      <c r="E9" s="208">
        <v>2.64</v>
      </c>
      <c r="F9" s="210">
        <v>34500</v>
      </c>
      <c r="I9" s="211"/>
      <c r="J9" s="211"/>
      <c r="K9" s="211"/>
      <c r="L9" s="211"/>
      <c r="M9" s="244">
        <v>0.9</v>
      </c>
      <c r="N9" s="245">
        <v>2.5</v>
      </c>
    </row>
    <row r="10" spans="1:14" x14ac:dyDescent="0.2">
      <c r="A10" s="207" t="s">
        <v>267</v>
      </c>
      <c r="B10" s="208">
        <v>25.3</v>
      </c>
      <c r="C10" s="208">
        <v>1.96</v>
      </c>
      <c r="D10" s="208">
        <v>35.5</v>
      </c>
      <c r="E10" s="208">
        <v>2.74</v>
      </c>
      <c r="F10" s="210">
        <v>35500</v>
      </c>
      <c r="I10" s="211"/>
      <c r="J10" s="211"/>
      <c r="K10" s="211"/>
      <c r="L10" s="211"/>
      <c r="M10" s="244">
        <v>0.95</v>
      </c>
      <c r="N10" s="245">
        <v>2.75</v>
      </c>
    </row>
    <row r="11" spans="1:14" x14ac:dyDescent="0.2">
      <c r="A11" s="207" t="s">
        <v>268</v>
      </c>
      <c r="B11" s="208">
        <v>27.5</v>
      </c>
      <c r="C11" s="208">
        <v>2.04</v>
      </c>
      <c r="D11" s="208">
        <v>38.5</v>
      </c>
      <c r="E11" s="208">
        <v>2.85</v>
      </c>
      <c r="F11" s="210">
        <v>36000</v>
      </c>
      <c r="I11" s="211"/>
      <c r="J11" s="211"/>
      <c r="K11" s="211"/>
      <c r="L11" s="211"/>
      <c r="M11" s="244">
        <v>1</v>
      </c>
      <c r="N11" s="245">
        <v>3</v>
      </c>
    </row>
    <row r="12" spans="1:14" x14ac:dyDescent="0.2">
      <c r="A12" s="207" t="s">
        <v>269</v>
      </c>
      <c r="B12" s="208">
        <v>29.7</v>
      </c>
      <c r="C12" s="208">
        <v>2.09</v>
      </c>
      <c r="D12" s="208">
        <v>41.5</v>
      </c>
      <c r="E12" s="208">
        <v>2.93</v>
      </c>
      <c r="F12" s="210">
        <v>36500</v>
      </c>
      <c r="I12" s="211"/>
      <c r="J12" s="211"/>
      <c r="K12" s="211"/>
      <c r="L12" s="211"/>
      <c r="M12" s="244">
        <v>1.05</v>
      </c>
      <c r="N12" s="245"/>
    </row>
    <row r="13" spans="1:14" x14ac:dyDescent="0.2">
      <c r="A13" s="207" t="s">
        <v>270</v>
      </c>
      <c r="B13" s="208">
        <v>31.8</v>
      </c>
      <c r="C13" s="208">
        <v>2.14</v>
      </c>
      <c r="D13" s="208">
        <v>44.5</v>
      </c>
      <c r="E13" s="208">
        <v>2.99</v>
      </c>
      <c r="F13" s="210">
        <v>37000</v>
      </c>
      <c r="I13" s="211"/>
      <c r="J13" s="211"/>
      <c r="K13" s="211"/>
      <c r="L13" s="211"/>
      <c r="M13" s="244">
        <v>1.1000000000000001</v>
      </c>
      <c r="N13" s="245"/>
    </row>
    <row r="14" spans="1:14" x14ac:dyDescent="0.2">
      <c r="A14" s="207" t="s">
        <v>271</v>
      </c>
      <c r="B14" s="208">
        <v>33.799999999999997</v>
      </c>
      <c r="C14" s="208">
        <v>2.1800000000000002</v>
      </c>
      <c r="D14" s="208">
        <v>47.4</v>
      </c>
      <c r="E14" s="208">
        <v>3.05</v>
      </c>
      <c r="F14" s="210">
        <v>37500</v>
      </c>
      <c r="I14" s="211"/>
      <c r="J14" s="211"/>
      <c r="K14" s="211"/>
      <c r="L14" s="211"/>
      <c r="M14" s="244">
        <v>1.1499999999999999</v>
      </c>
      <c r="N14" s="245"/>
    </row>
    <row r="15" spans="1:14" ht="15" thickBot="1" x14ac:dyDescent="0.25">
      <c r="A15" s="213" t="s">
        <v>272</v>
      </c>
      <c r="B15" s="214">
        <v>35.9</v>
      </c>
      <c r="C15" s="214">
        <v>2.2200000000000002</v>
      </c>
      <c r="D15" s="214">
        <v>50.2</v>
      </c>
      <c r="E15" s="214">
        <v>3.11</v>
      </c>
      <c r="F15" s="215">
        <v>38000</v>
      </c>
      <c r="I15" s="211"/>
      <c r="J15" s="211"/>
      <c r="K15" s="211"/>
      <c r="L15" s="211"/>
      <c r="M15" s="246">
        <v>1.2</v>
      </c>
      <c r="N15" s="247"/>
    </row>
    <row r="16" spans="1:14" ht="15.75" thickTop="1" thickBot="1" x14ac:dyDescent="0.25">
      <c r="A16" s="216"/>
      <c r="B16" s="216"/>
      <c r="C16" s="216"/>
      <c r="D16" s="216"/>
      <c r="E16" s="216"/>
      <c r="F16" s="217"/>
    </row>
    <row r="17" spans="1:6" ht="16.5" thickTop="1" x14ac:dyDescent="0.3">
      <c r="A17" s="218" t="s">
        <v>273</v>
      </c>
      <c r="B17" s="219" t="s">
        <v>274</v>
      </c>
      <c r="C17" s="219" t="s">
        <v>275</v>
      </c>
      <c r="D17" s="219" t="s">
        <v>276</v>
      </c>
      <c r="E17" s="219" t="s">
        <v>277</v>
      </c>
      <c r="F17" s="220" t="s">
        <v>278</v>
      </c>
    </row>
    <row r="18" spans="1:6" x14ac:dyDescent="0.2">
      <c r="A18" s="221" t="s">
        <v>279</v>
      </c>
      <c r="B18" s="222">
        <v>270</v>
      </c>
      <c r="C18" s="222">
        <v>270</v>
      </c>
      <c r="D18" s="222">
        <v>300</v>
      </c>
      <c r="E18" s="222"/>
      <c r="F18" s="209">
        <v>210000</v>
      </c>
    </row>
    <row r="19" spans="1:6" x14ac:dyDescent="0.2">
      <c r="A19" s="221" t="s">
        <v>280</v>
      </c>
      <c r="B19" s="222">
        <v>300</v>
      </c>
      <c r="C19" s="222">
        <v>300</v>
      </c>
      <c r="D19" s="222">
        <v>335</v>
      </c>
      <c r="E19" s="222"/>
      <c r="F19" s="209">
        <v>200000</v>
      </c>
    </row>
    <row r="20" spans="1:6" x14ac:dyDescent="0.2">
      <c r="A20" s="221" t="s">
        <v>281</v>
      </c>
      <c r="B20" s="222">
        <v>360</v>
      </c>
      <c r="C20" s="222">
        <v>360</v>
      </c>
      <c r="D20" s="222">
        <v>400</v>
      </c>
      <c r="E20" s="222"/>
      <c r="F20" s="209">
        <v>200000</v>
      </c>
    </row>
    <row r="21" spans="1:6" ht="15" thickBot="1" x14ac:dyDescent="0.25">
      <c r="A21" s="223" t="s">
        <v>282</v>
      </c>
      <c r="B21" s="224">
        <v>435</v>
      </c>
      <c r="C21" s="224">
        <v>410</v>
      </c>
      <c r="D21" s="224">
        <v>500</v>
      </c>
      <c r="E21" s="224"/>
      <c r="F21" s="225">
        <v>200000</v>
      </c>
    </row>
    <row r="22" spans="1:6" ht="15.75" thickTop="1" thickBot="1" x14ac:dyDescent="0.25"/>
    <row r="23" spans="1:6" ht="15" thickTop="1" x14ac:dyDescent="0.2">
      <c r="A23" s="227" t="s">
        <v>175</v>
      </c>
      <c r="B23" s="206" t="s">
        <v>283</v>
      </c>
    </row>
    <row r="24" spans="1:6" x14ac:dyDescent="0.2">
      <c r="A24" s="228">
        <v>6</v>
      </c>
      <c r="B24" s="206">
        <v>24</v>
      </c>
    </row>
    <row r="25" spans="1:6" x14ac:dyDescent="0.2">
      <c r="A25" s="228">
        <v>8</v>
      </c>
      <c r="B25" s="206">
        <v>25</v>
      </c>
    </row>
    <row r="26" spans="1:6" x14ac:dyDescent="0.2">
      <c r="A26" s="228">
        <v>10</v>
      </c>
      <c r="B26" s="206">
        <v>26</v>
      </c>
    </row>
    <row r="27" spans="1:6" x14ac:dyDescent="0.2">
      <c r="A27" s="228">
        <v>12</v>
      </c>
      <c r="B27" s="206">
        <v>27</v>
      </c>
    </row>
    <row r="28" spans="1:6" x14ac:dyDescent="0.2">
      <c r="A28" s="228">
        <v>14</v>
      </c>
      <c r="B28" s="206">
        <v>28</v>
      </c>
    </row>
    <row r="29" spans="1:6" x14ac:dyDescent="0.2">
      <c r="A29" s="228">
        <v>16</v>
      </c>
      <c r="B29" s="206">
        <v>29</v>
      </c>
    </row>
    <row r="30" spans="1:6" x14ac:dyDescent="0.2">
      <c r="A30" s="228">
        <v>18</v>
      </c>
      <c r="B30" s="206">
        <v>30</v>
      </c>
    </row>
    <row r="31" spans="1:6" x14ac:dyDescent="0.2">
      <c r="A31" s="228">
        <v>20</v>
      </c>
      <c r="B31" s="206">
        <v>31</v>
      </c>
    </row>
    <row r="32" spans="1:6" x14ac:dyDescent="0.2">
      <c r="A32" s="228">
        <v>22</v>
      </c>
      <c r="B32" s="206">
        <v>32</v>
      </c>
    </row>
    <row r="33" spans="1:2" x14ac:dyDescent="0.2">
      <c r="A33" s="228">
        <v>25</v>
      </c>
      <c r="B33" s="206">
        <v>33</v>
      </c>
    </row>
    <row r="34" spans="1:2" x14ac:dyDescent="0.2">
      <c r="A34" s="228">
        <v>28</v>
      </c>
      <c r="B34" s="206">
        <v>34</v>
      </c>
    </row>
    <row r="35" spans="1:2" x14ac:dyDescent="0.2">
      <c r="A35" s="228">
        <v>32</v>
      </c>
      <c r="B35" s="206">
        <v>35</v>
      </c>
    </row>
    <row r="36" spans="1:2" x14ac:dyDescent="0.2">
      <c r="A36" s="228">
        <v>36</v>
      </c>
      <c r="B36" s="206">
        <v>36</v>
      </c>
    </row>
    <row r="37" spans="1:2" x14ac:dyDescent="0.2">
      <c r="A37" s="228">
        <v>40</v>
      </c>
      <c r="B37" s="206">
        <v>37</v>
      </c>
    </row>
    <row r="38" spans="1:2" ht="15" thickBot="1" x14ac:dyDescent="0.25">
      <c r="A38" s="229">
        <v>50</v>
      </c>
      <c r="B38" s="206">
        <v>38</v>
      </c>
    </row>
    <row r="39" spans="1:2" ht="15" thickTop="1" x14ac:dyDescent="0.2">
      <c r="A39" s="230"/>
    </row>
    <row r="40" spans="1:2" x14ac:dyDescent="0.2">
      <c r="A40" s="231"/>
    </row>
    <row r="41" spans="1:2" x14ac:dyDescent="0.2">
      <c r="A41" s="231"/>
      <c r="B41" s="211"/>
    </row>
    <row r="42" spans="1:2" x14ac:dyDescent="0.2">
      <c r="A42" s="231"/>
      <c r="B42" s="211"/>
    </row>
    <row r="43" spans="1:2" x14ac:dyDescent="0.2">
      <c r="A43" s="231"/>
      <c r="B43" s="211"/>
    </row>
  </sheetData>
  <sheetProtection formatCells="0" formatColumns="0" formatRows="0" insertColumns="0" insertRows="0" insertHyperlinks="0" deleteColumns="0" deleteRows="0" sort="0" autoFilter="0" pivotTables="0"/>
  <phoneticPr fontId="2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X33"/>
  <sheetViews>
    <sheetView workbookViewId="0">
      <selection activeCell="B2" sqref="B2"/>
    </sheetView>
  </sheetViews>
  <sheetFormatPr defaultRowHeight="12.75" x14ac:dyDescent="0.2"/>
  <cols>
    <col min="1" max="1" width="19.140625" customWidth="1"/>
    <col min="3" max="3" width="10" customWidth="1"/>
    <col min="4" max="4" width="19" customWidth="1"/>
    <col min="8" max="8" width="19.7109375" customWidth="1"/>
    <col min="10" max="10" width="9" customWidth="1"/>
    <col min="12" max="12" width="20.7109375" customWidth="1"/>
    <col min="14" max="14" width="16.42578125" customWidth="1"/>
    <col min="15" max="15" width="15.7109375" customWidth="1"/>
    <col min="16" max="16" width="15.5703125" customWidth="1"/>
    <col min="17" max="17" width="17.140625" customWidth="1"/>
  </cols>
  <sheetData>
    <row r="1" spans="1:24" ht="15.75" thickTop="1" x14ac:dyDescent="0.2">
      <c r="A1" s="308" t="s">
        <v>155</v>
      </c>
      <c r="B1" s="309">
        <f>4.74-19.1-1</f>
        <v>-15.360000000000001</v>
      </c>
      <c r="C1" s="310" t="s">
        <v>352</v>
      </c>
      <c r="D1" s="308" t="s">
        <v>248</v>
      </c>
      <c r="E1" s="318" t="s">
        <v>284</v>
      </c>
      <c r="F1" s="319"/>
      <c r="G1" s="324"/>
      <c r="H1" s="267" t="s">
        <v>287</v>
      </c>
      <c r="I1" s="309">
        <v>550</v>
      </c>
      <c r="J1" s="326"/>
      <c r="L1" s="253">
        <v>1</v>
      </c>
      <c r="M1" s="254" t="s">
        <v>303</v>
      </c>
      <c r="N1" s="254" t="s">
        <v>308</v>
      </c>
      <c r="O1" s="254" t="s">
        <v>309</v>
      </c>
      <c r="P1" s="262" t="s">
        <v>310</v>
      </c>
      <c r="Q1" s="267" t="s">
        <v>316</v>
      </c>
      <c r="R1" s="268">
        <v>8.4</v>
      </c>
    </row>
    <row r="2" spans="1:24" x14ac:dyDescent="0.2">
      <c r="A2" s="311" t="s">
        <v>154</v>
      </c>
      <c r="B2" s="305">
        <v>-45.72</v>
      </c>
      <c r="C2" s="312">
        <f>B8*2</f>
        <v>1.2</v>
      </c>
      <c r="D2" s="311" t="s">
        <v>250</v>
      </c>
      <c r="E2" s="238" t="s">
        <v>251</v>
      </c>
      <c r="F2" s="320"/>
      <c r="G2" s="107"/>
      <c r="H2" s="255" t="s">
        <v>297</v>
      </c>
      <c r="I2" s="237">
        <v>5000</v>
      </c>
      <c r="J2" s="323"/>
      <c r="L2" s="255" t="s">
        <v>307</v>
      </c>
      <c r="M2" s="235">
        <v>1</v>
      </c>
      <c r="N2" s="236">
        <f>L1*25</f>
        <v>25</v>
      </c>
      <c r="O2" s="237">
        <v>1</v>
      </c>
      <c r="P2" s="263">
        <v>5</v>
      </c>
      <c r="Q2" s="255" t="s">
        <v>317</v>
      </c>
      <c r="R2" s="256">
        <v>8.4</v>
      </c>
    </row>
    <row r="3" spans="1:24" x14ac:dyDescent="0.2">
      <c r="A3" s="311" t="s">
        <v>153</v>
      </c>
      <c r="B3" s="305">
        <v>0</v>
      </c>
      <c r="C3" s="313"/>
      <c r="D3" s="321" t="s">
        <v>252</v>
      </c>
      <c r="E3" s="234">
        <v>50</v>
      </c>
      <c r="F3" s="320"/>
      <c r="G3" s="107"/>
      <c r="H3" s="255" t="s">
        <v>292</v>
      </c>
      <c r="I3" s="239">
        <v>0.33333333333333331</v>
      </c>
      <c r="J3" s="323"/>
      <c r="L3" s="255" t="s">
        <v>306</v>
      </c>
      <c r="M3" s="234">
        <v>20</v>
      </c>
      <c r="N3" s="234">
        <v>8.75</v>
      </c>
      <c r="O3" s="234">
        <v>1</v>
      </c>
      <c r="P3" s="264">
        <v>5</v>
      </c>
      <c r="Q3" s="255" t="s">
        <v>311</v>
      </c>
      <c r="R3" s="257">
        <v>3.44</v>
      </c>
      <c r="S3">
        <f>R3-$B$1</f>
        <v>18.8</v>
      </c>
    </row>
    <row r="4" spans="1:24" x14ac:dyDescent="0.2">
      <c r="A4" s="311" t="s">
        <v>156</v>
      </c>
      <c r="B4" s="305">
        <v>0</v>
      </c>
      <c r="C4" s="313"/>
      <c r="D4" s="255" t="s">
        <v>286</v>
      </c>
      <c r="E4" s="240">
        <v>16</v>
      </c>
      <c r="F4" s="256">
        <v>40</v>
      </c>
      <c r="G4" s="107"/>
      <c r="H4" s="255" t="s">
        <v>290</v>
      </c>
      <c r="I4" s="237"/>
      <c r="J4" s="323"/>
      <c r="L4" s="255" t="s">
        <v>304</v>
      </c>
      <c r="M4" s="235">
        <v>1</v>
      </c>
      <c r="N4" s="237">
        <v>12.5</v>
      </c>
      <c r="O4" s="237">
        <v>1</v>
      </c>
      <c r="P4" s="263">
        <v>10</v>
      </c>
      <c r="Q4" s="255" t="s">
        <v>312</v>
      </c>
      <c r="R4" s="256">
        <v>0</v>
      </c>
      <c r="S4">
        <f>R4-$B$1</f>
        <v>15.360000000000001</v>
      </c>
    </row>
    <row r="5" spans="1:24" x14ac:dyDescent="0.2">
      <c r="A5" s="311" t="s">
        <v>157</v>
      </c>
      <c r="B5" s="236">
        <f>COUNTA(InPutSolidPhisicalP!A3:A30)</f>
        <v>15</v>
      </c>
      <c r="C5" s="313"/>
      <c r="D5" s="311" t="s">
        <v>253</v>
      </c>
      <c r="E5" s="241">
        <v>80</v>
      </c>
      <c r="F5" s="401">
        <v>6.4999999999999997E-3</v>
      </c>
      <c r="G5" s="107"/>
      <c r="H5" s="321" t="s">
        <v>288</v>
      </c>
      <c r="I5" s="234">
        <v>8</v>
      </c>
      <c r="J5" s="323"/>
      <c r="L5" s="255" t="s">
        <v>305</v>
      </c>
      <c r="M5" s="234">
        <v>2</v>
      </c>
      <c r="N5" s="234">
        <v>10</v>
      </c>
      <c r="O5" s="234">
        <v>1</v>
      </c>
      <c r="P5" s="264">
        <v>4</v>
      </c>
      <c r="Q5" s="255" t="s">
        <v>313</v>
      </c>
      <c r="R5" s="269">
        <v>1.05</v>
      </c>
    </row>
    <row r="6" spans="1:24" ht="13.5" thickBot="1" x14ac:dyDescent="0.25">
      <c r="A6" s="311" t="s">
        <v>158</v>
      </c>
      <c r="B6" s="248">
        <f>(COUNTA(11:11)-1)/2</f>
        <v>8</v>
      </c>
      <c r="C6" s="313"/>
      <c r="D6" s="255" t="s">
        <v>285</v>
      </c>
      <c r="E6" s="240">
        <v>0.3</v>
      </c>
      <c r="F6" s="320"/>
      <c r="G6" s="107"/>
      <c r="H6" s="321" t="s">
        <v>289</v>
      </c>
      <c r="I6" s="237">
        <v>16</v>
      </c>
      <c r="J6" s="327" t="s">
        <v>293</v>
      </c>
      <c r="L6" s="258" t="s">
        <v>302</v>
      </c>
      <c r="M6" s="259">
        <v>1</v>
      </c>
      <c r="N6" s="260">
        <v>12.5</v>
      </c>
      <c r="O6" s="260">
        <v>1</v>
      </c>
      <c r="P6" s="265">
        <v>5</v>
      </c>
      <c r="Q6" s="255" t="s">
        <v>314</v>
      </c>
      <c r="R6" s="270">
        <v>0.85</v>
      </c>
    </row>
    <row r="7" spans="1:24" ht="14.25" thickTop="1" thickBot="1" x14ac:dyDescent="0.25">
      <c r="A7" s="255" t="s">
        <v>355</v>
      </c>
      <c r="B7" s="234">
        <v>10</v>
      </c>
      <c r="C7" s="314">
        <v>1</v>
      </c>
      <c r="D7" s="255" t="s">
        <v>322</v>
      </c>
      <c r="E7" s="236">
        <f>VLOOKUP(B8,钢筋强度和模量!M1:N15,2,FALSE)</f>
        <v>1.2</v>
      </c>
      <c r="F7" s="322"/>
      <c r="G7" s="249"/>
      <c r="H7" s="255" t="s">
        <v>291</v>
      </c>
      <c r="I7" s="234">
        <v>1</v>
      </c>
      <c r="J7" s="323"/>
      <c r="L7" s="410" t="s">
        <v>318</v>
      </c>
      <c r="M7" s="411"/>
      <c r="N7" s="261">
        <f>$M$2*N2+$M$3*N3+$M$4*N4+$M$5*N5+$M$6*N6</f>
        <v>245</v>
      </c>
      <c r="O7" s="261">
        <f t="shared" ref="O7:P7" si="0">$M$2*O2+$M$3*O3+$M$4*O4+$M$5*O5+$M$6*O6</f>
        <v>25</v>
      </c>
      <c r="P7" s="266">
        <f t="shared" si="0"/>
        <v>128</v>
      </c>
      <c r="Q7" s="271"/>
      <c r="R7" s="272"/>
    </row>
    <row r="8" spans="1:24" ht="16.5" thickTop="1" thickBot="1" x14ac:dyDescent="0.25">
      <c r="A8" s="311" t="s">
        <v>249</v>
      </c>
      <c r="B8" s="305">
        <v>0.6</v>
      </c>
      <c r="C8" s="315" t="str">
        <f>IF((B9-(B2-B3*B4))/B8&gt;90,"深径比&gt;90","深径比="&amp;ROUND((B9-(B2-B3*B4))/B8,0))</f>
        <v>深径比=84</v>
      </c>
      <c r="D8" s="255" t="s">
        <v>298</v>
      </c>
      <c r="E8" s="237">
        <v>350</v>
      </c>
      <c r="F8" s="323"/>
      <c r="G8" s="325"/>
      <c r="H8" s="258" t="s">
        <v>294</v>
      </c>
      <c r="I8" s="260">
        <v>270</v>
      </c>
      <c r="J8" s="272"/>
      <c r="L8" s="335" t="s">
        <v>357</v>
      </c>
      <c r="M8" s="337">
        <v>18</v>
      </c>
      <c r="N8" s="336">
        <f>M2*N2+M3*N3+M4*N4+M8</f>
        <v>230.5</v>
      </c>
      <c r="O8" s="334">
        <f>M2*O2+M3*O3+M4*O4</f>
        <v>22</v>
      </c>
      <c r="P8" s="249"/>
      <c r="Q8" s="249"/>
      <c r="R8" s="249"/>
    </row>
    <row r="9" spans="1:24" ht="14.25" thickTop="1" thickBot="1" x14ac:dyDescent="0.25">
      <c r="A9" s="316" t="s">
        <v>315</v>
      </c>
      <c r="B9" s="285">
        <v>4.74</v>
      </c>
      <c r="C9" s="317"/>
      <c r="D9" s="258" t="s">
        <v>436</v>
      </c>
      <c r="E9" s="285">
        <v>1.2</v>
      </c>
      <c r="F9" s="272"/>
    </row>
    <row r="10" spans="1:24" s="250" customFormat="1" ht="13.5" customHeight="1" thickTop="1" thickBot="1" x14ac:dyDescent="0.2">
      <c r="A10" s="306" t="s">
        <v>295</v>
      </c>
      <c r="B10" s="307"/>
      <c r="C10" s="307"/>
      <c r="D10" s="307"/>
      <c r="E10" s="307"/>
      <c r="F10" s="307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</row>
    <row r="11" spans="1:24" s="198" customFormat="1" x14ac:dyDescent="0.2">
      <c r="A11" s="199" t="s">
        <v>247</v>
      </c>
      <c r="C11" s="200" t="s">
        <v>136</v>
      </c>
      <c r="D11" s="200" t="str">
        <f>C11</f>
        <v>G1</v>
      </c>
      <c r="E11" s="200" t="s">
        <v>137</v>
      </c>
      <c r="F11" s="200" t="s">
        <v>137</v>
      </c>
      <c r="G11" s="200" t="s">
        <v>138</v>
      </c>
      <c r="H11" s="200" t="s">
        <v>138</v>
      </c>
      <c r="I11" s="200" t="s">
        <v>139</v>
      </c>
      <c r="J11" s="200" t="s">
        <v>139</v>
      </c>
      <c r="K11" s="200" t="s">
        <v>140</v>
      </c>
      <c r="L11" s="200" t="s">
        <v>140</v>
      </c>
      <c r="M11" s="200" t="s">
        <v>141</v>
      </c>
      <c r="N11" s="200" t="s">
        <v>141</v>
      </c>
      <c r="O11" s="200" t="s">
        <v>142</v>
      </c>
      <c r="P11" s="200" t="s">
        <v>142</v>
      </c>
      <c r="Q11" s="200" t="s">
        <v>143</v>
      </c>
      <c r="R11" s="200" t="s">
        <v>143</v>
      </c>
    </row>
    <row r="12" spans="1:24" s="197" customFormat="1" x14ac:dyDescent="0.2">
      <c r="C12" s="107" t="s">
        <v>58</v>
      </c>
      <c r="D12" s="108" t="s">
        <v>49</v>
      </c>
      <c r="E12" s="107" t="s">
        <v>58</v>
      </c>
      <c r="F12" s="108" t="s">
        <v>49</v>
      </c>
      <c r="G12" s="107" t="s">
        <v>58</v>
      </c>
      <c r="H12" s="108" t="s">
        <v>49</v>
      </c>
      <c r="I12" s="107" t="s">
        <v>58</v>
      </c>
      <c r="J12" s="108" t="s">
        <v>49</v>
      </c>
      <c r="K12" s="107" t="s">
        <v>58</v>
      </c>
      <c r="L12" s="108" t="s">
        <v>49</v>
      </c>
      <c r="M12" s="107" t="s">
        <v>58</v>
      </c>
      <c r="N12" s="108" t="s">
        <v>49</v>
      </c>
      <c r="O12" s="107" t="s">
        <v>58</v>
      </c>
      <c r="P12" s="108" t="s">
        <v>49</v>
      </c>
      <c r="Q12" s="107" t="s">
        <v>58</v>
      </c>
      <c r="R12" s="108" t="s">
        <v>49</v>
      </c>
      <c r="S12" s="107"/>
      <c r="T12" s="108"/>
      <c r="U12" s="107"/>
      <c r="V12" s="108"/>
      <c r="W12" s="107"/>
      <c r="X12" s="108"/>
    </row>
    <row r="13" spans="1:24" s="198" customFormat="1" x14ac:dyDescent="0.2">
      <c r="C13" s="200"/>
      <c r="D13" s="201" t="s">
        <v>50</v>
      </c>
      <c r="E13" s="200"/>
      <c r="F13" s="201" t="s">
        <v>50</v>
      </c>
      <c r="G13" s="200"/>
      <c r="H13" s="201" t="s">
        <v>50</v>
      </c>
      <c r="I13" s="200"/>
      <c r="J13" s="201" t="s">
        <v>50</v>
      </c>
      <c r="K13" s="200"/>
      <c r="L13" s="201" t="s">
        <v>50</v>
      </c>
      <c r="M13" s="200"/>
      <c r="N13" s="201" t="s">
        <v>50</v>
      </c>
      <c r="O13" s="200"/>
      <c r="P13" s="201" t="s">
        <v>50</v>
      </c>
      <c r="Q13" s="200"/>
      <c r="R13" s="201" t="s">
        <v>50</v>
      </c>
    </row>
    <row r="14" spans="1:24" x14ac:dyDescent="0.2">
      <c r="C14" s="303" t="s">
        <v>323</v>
      </c>
      <c r="D14" s="232">
        <v>3.69</v>
      </c>
      <c r="E14" s="303" t="s">
        <v>323</v>
      </c>
      <c r="F14">
        <v>3.48</v>
      </c>
      <c r="G14" s="303" t="s">
        <v>323</v>
      </c>
      <c r="H14">
        <v>3.58</v>
      </c>
      <c r="I14" s="303" t="s">
        <v>323</v>
      </c>
      <c r="J14">
        <v>3.5</v>
      </c>
      <c r="K14" s="303" t="s">
        <v>323</v>
      </c>
      <c r="L14">
        <v>4.74</v>
      </c>
      <c r="M14" s="303" t="s">
        <v>323</v>
      </c>
      <c r="N14">
        <v>3.5</v>
      </c>
      <c r="O14" s="303" t="s">
        <v>323</v>
      </c>
      <c r="P14">
        <v>3.5</v>
      </c>
      <c r="Q14" s="274" t="s">
        <v>152</v>
      </c>
      <c r="R14">
        <v>3.5</v>
      </c>
    </row>
    <row r="15" spans="1:24" x14ac:dyDescent="0.2">
      <c r="C15" s="111" t="s">
        <v>123</v>
      </c>
      <c r="D15" s="232">
        <v>1.29</v>
      </c>
      <c r="E15" s="110" t="s">
        <v>123</v>
      </c>
      <c r="F15">
        <v>1.18</v>
      </c>
      <c r="G15" s="110" t="s">
        <v>123</v>
      </c>
      <c r="H15">
        <v>0.88</v>
      </c>
      <c r="I15" s="110" t="s">
        <v>123</v>
      </c>
      <c r="J15">
        <v>0.1</v>
      </c>
      <c r="K15" s="110" t="s">
        <v>123</v>
      </c>
      <c r="L15" s="105">
        <v>0.76</v>
      </c>
      <c r="M15" s="110" t="s">
        <v>123</v>
      </c>
      <c r="N15" s="105">
        <v>2.1800000000000002</v>
      </c>
      <c r="O15" s="110" t="s">
        <v>123</v>
      </c>
      <c r="P15" s="105">
        <v>1.21</v>
      </c>
      <c r="Q15" t="s">
        <v>123</v>
      </c>
      <c r="R15">
        <v>1.68</v>
      </c>
    </row>
    <row r="16" spans="1:24" x14ac:dyDescent="0.2">
      <c r="C16" s="111" t="s">
        <v>124</v>
      </c>
      <c r="D16" s="232">
        <v>0.39</v>
      </c>
      <c r="E16" s="110" t="s">
        <v>124</v>
      </c>
      <c r="F16">
        <v>0.08</v>
      </c>
      <c r="G16" s="110" t="s">
        <v>124</v>
      </c>
      <c r="H16">
        <v>-0.42</v>
      </c>
      <c r="I16" s="110" t="s">
        <v>124</v>
      </c>
      <c r="J16">
        <v>-1.3</v>
      </c>
      <c r="K16" s="110" t="s">
        <v>124</v>
      </c>
      <c r="L16" s="106">
        <v>-0.34</v>
      </c>
      <c r="M16" s="110" t="s">
        <v>124</v>
      </c>
      <c r="N16" s="106">
        <v>0.88</v>
      </c>
      <c r="O16" s="110" t="s">
        <v>124</v>
      </c>
      <c r="P16" s="106">
        <v>0.21</v>
      </c>
      <c r="Q16" t="s">
        <v>124</v>
      </c>
      <c r="R16">
        <v>0.02</v>
      </c>
    </row>
    <row r="17" spans="3:18" x14ac:dyDescent="0.2">
      <c r="C17" s="111" t="s">
        <v>125</v>
      </c>
      <c r="D17" s="232">
        <v>-8.81</v>
      </c>
      <c r="E17" s="110" t="s">
        <v>125</v>
      </c>
      <c r="F17">
        <v>-6.42</v>
      </c>
      <c r="G17" s="110" t="s">
        <v>125</v>
      </c>
      <c r="H17">
        <v>-5.62</v>
      </c>
      <c r="I17" s="110" t="s">
        <v>125</v>
      </c>
      <c r="J17">
        <v>-6.4</v>
      </c>
      <c r="K17" s="110" t="s">
        <v>125</v>
      </c>
      <c r="L17" s="106">
        <v>-5.34</v>
      </c>
      <c r="M17" s="110" t="s">
        <v>125</v>
      </c>
      <c r="N17" s="106">
        <v>-5.82</v>
      </c>
      <c r="O17" s="110" t="s">
        <v>125</v>
      </c>
      <c r="P17" s="106">
        <v>-7.59</v>
      </c>
      <c r="Q17" t="s">
        <v>125</v>
      </c>
      <c r="R17">
        <v>-6.22</v>
      </c>
    </row>
    <row r="18" spans="3:18" x14ac:dyDescent="0.2">
      <c r="C18" s="111" t="s">
        <v>133</v>
      </c>
      <c r="D18" s="232">
        <v>-15.31</v>
      </c>
      <c r="E18" s="110" t="s">
        <v>133</v>
      </c>
      <c r="F18">
        <v>-15.32</v>
      </c>
      <c r="G18" s="110" t="s">
        <v>133</v>
      </c>
      <c r="H18">
        <v>-15.42</v>
      </c>
      <c r="I18" s="110" t="s">
        <v>133</v>
      </c>
      <c r="J18">
        <v>-15.3</v>
      </c>
      <c r="K18" s="110" t="s">
        <v>133</v>
      </c>
      <c r="L18" s="106">
        <v>-15.34</v>
      </c>
      <c r="M18" s="110" t="s">
        <v>133</v>
      </c>
      <c r="N18" s="106">
        <v>-14.52</v>
      </c>
      <c r="O18" s="110" t="s">
        <v>133</v>
      </c>
      <c r="P18" s="106">
        <v>-14.79</v>
      </c>
      <c r="Q18" t="s">
        <v>133</v>
      </c>
      <c r="R18">
        <v>-14.92</v>
      </c>
    </row>
    <row r="19" spans="3:18" x14ac:dyDescent="0.2">
      <c r="C19" s="111" t="s">
        <v>135</v>
      </c>
      <c r="D19" s="232">
        <v>-20.11</v>
      </c>
      <c r="E19" s="110" t="s">
        <v>135</v>
      </c>
      <c r="F19">
        <v>-20.32</v>
      </c>
      <c r="G19" s="110" t="s">
        <v>135</v>
      </c>
      <c r="H19">
        <v>-18.420000000000002</v>
      </c>
      <c r="I19" s="110" t="s">
        <v>135</v>
      </c>
      <c r="J19">
        <v>-18.8</v>
      </c>
      <c r="K19" s="110" t="s">
        <v>135</v>
      </c>
      <c r="L19" s="106">
        <v>-20.84</v>
      </c>
      <c r="M19" s="110" t="s">
        <v>135</v>
      </c>
      <c r="N19" s="106">
        <v>-19.420000000000002</v>
      </c>
      <c r="O19" s="110" t="s">
        <v>135</v>
      </c>
      <c r="P19" s="106">
        <v>-20.09</v>
      </c>
      <c r="Q19" t="s">
        <v>135</v>
      </c>
      <c r="R19">
        <v>-18.420000000000002</v>
      </c>
    </row>
    <row r="20" spans="3:18" x14ac:dyDescent="0.2">
      <c r="C20" s="111" t="s">
        <v>126</v>
      </c>
      <c r="D20" s="232">
        <v>-28.51</v>
      </c>
      <c r="E20" s="110" t="s">
        <v>126</v>
      </c>
      <c r="F20">
        <v>-31.72</v>
      </c>
      <c r="G20" s="110" t="s">
        <v>126</v>
      </c>
      <c r="H20">
        <v>-29.22</v>
      </c>
      <c r="I20" s="110" t="s">
        <v>126</v>
      </c>
      <c r="J20">
        <v>-26.5</v>
      </c>
      <c r="K20" s="110" t="s">
        <v>126</v>
      </c>
      <c r="L20" s="106">
        <v>-25.84</v>
      </c>
      <c r="M20" s="110" t="s">
        <v>126</v>
      </c>
      <c r="N20" s="106">
        <v>-25.02</v>
      </c>
      <c r="O20" s="110" t="s">
        <v>126</v>
      </c>
      <c r="P20" s="106">
        <v>-24.09</v>
      </c>
      <c r="Q20" t="s">
        <v>126</v>
      </c>
      <c r="R20">
        <v>-24.52</v>
      </c>
    </row>
    <row r="21" spans="3:18" x14ac:dyDescent="0.2">
      <c r="C21" s="111" t="s">
        <v>129</v>
      </c>
      <c r="D21" s="232">
        <v>-31.51</v>
      </c>
      <c r="E21" s="110" t="s">
        <v>108</v>
      </c>
      <c r="F21">
        <v>-37.82</v>
      </c>
      <c r="G21" s="110" t="s">
        <v>129</v>
      </c>
      <c r="H21">
        <v>-37.42</v>
      </c>
      <c r="I21" s="110" t="s">
        <v>129</v>
      </c>
      <c r="J21">
        <v>-38.6</v>
      </c>
      <c r="K21" s="110" t="s">
        <v>129</v>
      </c>
      <c r="L21" s="106">
        <v>-34.840000000000003</v>
      </c>
      <c r="M21" s="110" t="s">
        <v>129</v>
      </c>
      <c r="N21" s="106">
        <v>-35.92</v>
      </c>
      <c r="O21" s="110" t="s">
        <v>129</v>
      </c>
      <c r="P21" s="106">
        <v>-34.39</v>
      </c>
      <c r="Q21" t="s">
        <v>129</v>
      </c>
      <c r="R21">
        <v>-34.82</v>
      </c>
    </row>
    <row r="22" spans="3:18" x14ac:dyDescent="0.2">
      <c r="C22" s="111" t="s">
        <v>108</v>
      </c>
      <c r="D22" s="232">
        <v>-36.81</v>
      </c>
      <c r="E22" s="110" t="s">
        <v>127</v>
      </c>
      <c r="F22">
        <v>-43.92</v>
      </c>
      <c r="G22" s="110" t="s">
        <v>108</v>
      </c>
      <c r="H22">
        <v>-42.62</v>
      </c>
      <c r="I22" s="110" t="s">
        <v>108</v>
      </c>
      <c r="J22">
        <v>-42.3</v>
      </c>
      <c r="K22" s="110" t="s">
        <v>108</v>
      </c>
      <c r="L22" s="106">
        <v>-36.340000000000003</v>
      </c>
      <c r="M22" s="110" t="s">
        <v>108</v>
      </c>
      <c r="N22" s="106">
        <v>-43.62</v>
      </c>
      <c r="O22" s="110" t="s">
        <v>108</v>
      </c>
      <c r="P22" s="106">
        <v>-44.09</v>
      </c>
      <c r="Q22" t="s">
        <v>108</v>
      </c>
      <c r="R22">
        <v>-38.619999999999997</v>
      </c>
    </row>
    <row r="23" spans="3:18" x14ac:dyDescent="0.2">
      <c r="C23" s="111" t="s">
        <v>111</v>
      </c>
      <c r="D23" s="232">
        <v>-38.11</v>
      </c>
      <c r="E23" s="110" t="s">
        <v>128</v>
      </c>
      <c r="F23">
        <v>-61.92</v>
      </c>
      <c r="G23" s="110" t="s">
        <v>128</v>
      </c>
      <c r="H23">
        <v>-63.62</v>
      </c>
      <c r="I23" s="110" t="s">
        <v>111</v>
      </c>
      <c r="J23">
        <v>-44.4</v>
      </c>
      <c r="K23" s="110" t="s">
        <v>111</v>
      </c>
      <c r="L23" s="106">
        <v>-37.840000000000003</v>
      </c>
      <c r="M23" s="110" t="s">
        <v>128</v>
      </c>
      <c r="N23" s="106">
        <v>-56.02</v>
      </c>
      <c r="O23" s="110" t="s">
        <v>128</v>
      </c>
      <c r="P23" s="106">
        <v>-55.29</v>
      </c>
      <c r="Q23" t="s">
        <v>111</v>
      </c>
      <c r="R23">
        <v>-41.52</v>
      </c>
    </row>
    <row r="24" spans="3:18" x14ac:dyDescent="0.2">
      <c r="C24" s="111" t="s">
        <v>127</v>
      </c>
      <c r="D24" s="232">
        <v>-43.81</v>
      </c>
      <c r="E24" s="110" t="s">
        <v>130</v>
      </c>
      <c r="F24">
        <v>-65.12</v>
      </c>
      <c r="G24" s="110" t="s">
        <v>130</v>
      </c>
      <c r="H24">
        <v>-69.92</v>
      </c>
      <c r="I24" s="110" t="s">
        <v>128</v>
      </c>
      <c r="J24">
        <v>-64.3</v>
      </c>
      <c r="K24" s="110" t="s">
        <v>127</v>
      </c>
      <c r="L24" s="106">
        <v>-43.84</v>
      </c>
      <c r="M24" s="110" t="s">
        <v>132</v>
      </c>
      <c r="N24" s="106">
        <v>-62.12</v>
      </c>
      <c r="O24" s="110" t="s">
        <v>132</v>
      </c>
      <c r="P24" s="106">
        <v>-62.49</v>
      </c>
      <c r="Q24" t="s">
        <v>127</v>
      </c>
      <c r="R24">
        <v>-44.52</v>
      </c>
    </row>
    <row r="25" spans="3:18" x14ac:dyDescent="0.2">
      <c r="C25" s="111" t="s">
        <v>128</v>
      </c>
      <c r="D25" s="233">
        <v>-63.81</v>
      </c>
      <c r="E25" s="304"/>
      <c r="G25" s="304"/>
      <c r="H25" s="104"/>
      <c r="I25" s="110" t="s">
        <v>130</v>
      </c>
      <c r="J25">
        <v>-69.3</v>
      </c>
      <c r="K25" s="110" t="s">
        <v>128</v>
      </c>
      <c r="L25" s="106">
        <v>-60.24</v>
      </c>
      <c r="M25" s="110" t="s">
        <v>130</v>
      </c>
      <c r="N25" s="106">
        <v>-73.42</v>
      </c>
      <c r="O25" s="110" t="s">
        <v>130</v>
      </c>
      <c r="P25" s="106">
        <v>-63.29</v>
      </c>
      <c r="Q25" t="s">
        <v>128</v>
      </c>
      <c r="R25">
        <v>-61.62</v>
      </c>
    </row>
    <row r="26" spans="3:18" x14ac:dyDescent="0.2">
      <c r="C26" s="111" t="s">
        <v>130</v>
      </c>
      <c r="D26" s="233">
        <v>-66.31</v>
      </c>
      <c r="E26" s="304"/>
      <c r="F26" s="106"/>
      <c r="G26" s="304"/>
      <c r="H26" s="106"/>
      <c r="I26" s="304"/>
      <c r="J26" s="106"/>
      <c r="K26" s="304" t="s">
        <v>130</v>
      </c>
      <c r="L26" s="106">
        <v>-64.34</v>
      </c>
      <c r="M26" s="110"/>
      <c r="N26" s="106"/>
      <c r="O26" s="304" t="s">
        <v>131</v>
      </c>
      <c r="P26" s="106">
        <v>-76.09</v>
      </c>
      <c r="Q26" t="s">
        <v>130</v>
      </c>
      <c r="R26">
        <v>-65.02</v>
      </c>
    </row>
    <row r="27" spans="3:18" x14ac:dyDescent="0.2">
      <c r="C27" s="111"/>
      <c r="D27" s="106"/>
      <c r="E27" s="304"/>
      <c r="F27" s="106"/>
      <c r="G27" s="304"/>
      <c r="H27" s="106"/>
      <c r="I27" s="304"/>
      <c r="J27" s="106"/>
      <c r="K27" s="304" t="s">
        <v>131</v>
      </c>
      <c r="L27" s="106">
        <v>-76.34</v>
      </c>
      <c r="M27" s="110"/>
      <c r="N27" s="106"/>
      <c r="O27" s="304"/>
      <c r="P27" s="106"/>
      <c r="Q27" s="106" t="s">
        <v>131</v>
      </c>
      <c r="R27">
        <v>-76.02</v>
      </c>
    </row>
    <row r="33" spans="12:12" x14ac:dyDescent="0.2">
      <c r="L33">
        <f>MAX(D14,F14,H14,J14,L14,N14,P14,R14)</f>
        <v>4.74</v>
      </c>
    </row>
  </sheetData>
  <mergeCells count="1">
    <mergeCell ref="L7:M7"/>
  </mergeCells>
  <phoneticPr fontId="22" type="noConversion"/>
  <conditionalFormatting sqref="A14:XFD27">
    <cfRule type="expression" dxfId="2" priority="3">
      <formula>MOD(COLUMN(),2)=1</formula>
    </cfRule>
  </conditionalFormatting>
  <conditionalFormatting sqref="A12:XFD12">
    <cfRule type="expression" dxfId="1" priority="2">
      <formula>MOD(COLUMN(),2)=1</formula>
    </cfRule>
  </conditionalFormatting>
  <conditionalFormatting sqref="C8">
    <cfRule type="containsText" dxfId="0" priority="1" operator="containsText" text="深径比&gt;90">
      <formula>NOT(ISERROR(SEARCH("深径比&gt;90",C8)))</formula>
    </cfRule>
  </conditionalFormatting>
  <dataValidations xWindow="549" yWindow="353" count="18">
    <dataValidation type="list" allowBlank="1" showInputMessage="1" showErrorMessage="1" sqref="J6">
      <formula1>"Outside,Inside"</formula1>
    </dataValidation>
    <dataValidation allowBlank="1" showErrorMessage="1" promptTitle="参数说明：" prompt="权限高于注浆经验系数_x000a_   （单根桩注浆量）_x000a_          （单位t）" sqref="F7"/>
    <dataValidation allowBlank="1" showInputMessage="1" showErrorMessage="1" promptTitle="参数说明：" prompt="当后面（F7）无数据时有效！" sqref="E7"/>
    <dataValidation allowBlank="1" showErrorMessage="1" promptTitle="参数说明：" prompt="不输入时，默认为1；_x000a_请注意根据注浆量调整承载力调整系数。" sqref="E9"/>
    <dataValidation type="list" allowBlank="1" showErrorMessage="1" promptTitle="参数说明：" prompt="根据桩侧摩阻力计算得到的基桩承载力取整调整系数_x000a_" sqref="B7">
      <formula1>"100,10,1"</formula1>
    </dataValidation>
    <dataValidation type="list" allowBlank="1" showInputMessage="1" showErrorMessage="1" sqref="E6">
      <formula1>"0.2,0.3"</formula1>
    </dataValidation>
    <dataValidation type="list" allowBlank="1" showInputMessage="1" showErrorMessage="1" sqref="E1">
      <formula1>"C30,C35,C40,C45,C50"</formula1>
    </dataValidation>
    <dataValidation type="list" allowBlank="1" showInputMessage="1" showErrorMessage="1" sqref="E2">
      <formula1>"HRB335,HRB400,HRB500"</formula1>
    </dataValidation>
    <dataValidation type="list" allowBlank="1" showInputMessage="1" showErrorMessage="1" sqref="E3">
      <formula1>"50,70"</formula1>
    </dataValidation>
    <dataValidation type="list" allowBlank="1" showInputMessage="1" showErrorMessage="1" sqref="E4:F4">
      <formula1>"14,16,18,20,22,25,28,32,36,40"</formula1>
    </dataValidation>
    <dataValidation type="list" allowBlank="1" showErrorMessage="1" prompt="_x000a_" sqref="E5">
      <formula1>"80,50"</formula1>
    </dataValidation>
    <dataValidation type="list" allowBlank="1" showInputMessage="1" showErrorMessage="1" sqref="I5">
      <formula1>"6,8,10,12,14"</formula1>
    </dataValidation>
    <dataValidation type="list" allowBlank="1" showInputMessage="1" showErrorMessage="1" promptTitle="参数说明：" prompt="加强箍份内外！" sqref="I6">
      <formula1>"12,14,16,18,20,22"</formula1>
    </dataValidation>
    <dataValidation allowBlank="1" showInputMessage="1" showErrorMessage="1" promptTitle="参数说明：" prompt="加密区高度取5d与输入值的最大值；_x000a_不输入取默认5d." sqref="I4"/>
    <dataValidation type="list" allowBlank="1" showInputMessage="1" showErrorMessage="1" sqref="M2 M4 M6">
      <formula1>"1"</formula1>
    </dataValidation>
    <dataValidation allowBlank="1" showErrorMessage="1" promptTitle="参数说明：" prompt="筏板厚度_x000a_单位(m)" sqref="L1"/>
    <dataValidation allowBlank="1" showErrorMessage="1" promptTitle="参数说明：" prompt="注意所填写值_x000a_要大于等于：板厚x25_x000a_Cell(L 1)为底板厚" sqref="N2"/>
    <dataValidation allowBlank="1" showErrorMessage="1" promptTitle="参数说明：" prompt="水浮力以最高水位到桩顶标高计算_x000a_水重度取10KN/m3" sqref="R3"/>
  </dataValidations>
  <pageMargins left="0.7" right="0.7" top="0.75" bottom="0.75" header="0.3" footer="0.3"/>
  <pageSetup paperSize="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7" r:id="rId4" name="Button 23">
              <controlPr defaultSize="0" autoFill="0" autoPict="0" macro="[0]!BaseCal">
                <anchor moveWithCells="1" sizeWithCells="1">
                  <from>
                    <xdr:col>12</xdr:col>
                    <xdr:colOff>342900</xdr:colOff>
                    <xdr:row>33</xdr:row>
                    <xdr:rowOff>19050</xdr:rowOff>
                  </from>
                  <to>
                    <xdr:col>13</xdr:col>
                    <xdr:colOff>609600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5" name="Button 24">
              <controlPr defaultSize="0" autoFill="0" autoPict="0" macro="[0]!MainCode">
                <anchor moveWithCells="1" sizeWithCells="1">
                  <from>
                    <xdr:col>13</xdr:col>
                    <xdr:colOff>628650</xdr:colOff>
                    <xdr:row>33</xdr:row>
                    <xdr:rowOff>19050</xdr:rowOff>
                  </from>
                  <to>
                    <xdr:col>14</xdr:col>
                    <xdr:colOff>352425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6" name="Button 25">
              <controlPr defaultSize="0" autoFill="0" autoPict="0" macro="[0]!PPTOutPut">
                <anchor moveWithCells="1" sizeWithCells="1">
                  <from>
                    <xdr:col>14</xdr:col>
                    <xdr:colOff>390525</xdr:colOff>
                    <xdr:row>33</xdr:row>
                    <xdr:rowOff>9525</xdr:rowOff>
                  </from>
                  <to>
                    <xdr:col>15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7" name="Button 38">
              <controlPr defaultSize="0" autoFill="0" autoPict="0" macro="[0]!BaseCalComp">
                <anchor moveWithCells="1" sizeWithCells="1">
                  <from>
                    <xdr:col>12</xdr:col>
                    <xdr:colOff>352425</xdr:colOff>
                    <xdr:row>31</xdr:row>
                    <xdr:rowOff>0</xdr:rowOff>
                  </from>
                  <to>
                    <xdr:col>13</xdr:col>
                    <xdr:colOff>619125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8" name="Button 41">
              <controlPr defaultSize="0" autoFill="0" autoPict="0" macro="[0]!MainCodeComp">
                <anchor moveWithCells="1" sizeWithCells="1">
                  <from>
                    <xdr:col>13</xdr:col>
                    <xdr:colOff>628650</xdr:colOff>
                    <xdr:row>31</xdr:row>
                    <xdr:rowOff>9525</xdr:rowOff>
                  </from>
                  <to>
                    <xdr:col>14</xdr:col>
                    <xdr:colOff>352425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9" name="Button 42">
              <controlPr defaultSize="0" autoFill="0" autoPict="0" macro="[0]!PPTOutPutComp">
                <anchor moveWithCells="1" sizeWithCells="1">
                  <from>
                    <xdr:col>14</xdr:col>
                    <xdr:colOff>390525</xdr:colOff>
                    <xdr:row>30</xdr:row>
                    <xdr:rowOff>152400</xdr:rowOff>
                  </from>
                  <to>
                    <xdr:col>15</xdr:col>
                    <xdr:colOff>285750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X33"/>
  <sheetViews>
    <sheetView topLeftCell="B1" workbookViewId="0">
      <selection activeCell="H11" sqref="H11"/>
    </sheetView>
  </sheetViews>
  <sheetFormatPr defaultRowHeight="12.75" x14ac:dyDescent="0.2"/>
  <cols>
    <col min="1" max="1" width="5.42578125" bestFit="1" customWidth="1"/>
    <col min="2" max="2" width="16.42578125" customWidth="1"/>
    <col min="3" max="3" width="11.140625" bestFit="1" customWidth="1"/>
    <col min="6" max="6" width="11.85546875" customWidth="1"/>
    <col min="11" max="11" width="12.85546875" customWidth="1"/>
    <col min="12" max="12" width="10.140625" customWidth="1"/>
    <col min="13" max="13" width="13.28515625" customWidth="1"/>
    <col min="14" max="14" width="10.85546875" customWidth="1"/>
    <col min="15" max="15" width="11.85546875" customWidth="1"/>
    <col min="17" max="17" width="12.85546875" customWidth="1"/>
    <col min="19" max="19" width="14.28515625" customWidth="1"/>
    <col min="20" max="20" width="11.7109375" customWidth="1"/>
    <col min="21" max="21" width="16.140625" customWidth="1"/>
    <col min="22" max="22" width="12.85546875" customWidth="1"/>
    <col min="23" max="23" width="15.42578125" customWidth="1"/>
  </cols>
  <sheetData>
    <row r="1" spans="1:24" x14ac:dyDescent="0.2">
      <c r="C1" s="103" t="s">
        <v>438</v>
      </c>
      <c r="F1" s="296" t="s">
        <v>354</v>
      </c>
      <c r="G1" s="295">
        <v>420</v>
      </c>
    </row>
    <row r="2" spans="1:24" x14ac:dyDescent="0.2">
      <c r="A2" s="103" t="s">
        <v>325</v>
      </c>
      <c r="B2" s="103" t="s">
        <v>326</v>
      </c>
      <c r="C2" t="s">
        <v>122</v>
      </c>
      <c r="D2" t="s">
        <v>332</v>
      </c>
      <c r="E2" t="s">
        <v>333</v>
      </c>
      <c r="F2" t="s">
        <v>334</v>
      </c>
      <c r="G2" t="s">
        <v>335</v>
      </c>
      <c r="H2" t="s">
        <v>336</v>
      </c>
      <c r="I2" t="s">
        <v>337</v>
      </c>
      <c r="J2" t="s">
        <v>338</v>
      </c>
      <c r="K2" t="s">
        <v>327</v>
      </c>
      <c r="L2" t="s">
        <v>328</v>
      </c>
      <c r="M2" t="s">
        <v>329</v>
      </c>
      <c r="N2" t="s">
        <v>330</v>
      </c>
      <c r="O2" t="s">
        <v>331</v>
      </c>
      <c r="Q2" t="s">
        <v>441</v>
      </c>
      <c r="R2" t="s">
        <v>442</v>
      </c>
      <c r="S2" t="s">
        <v>443</v>
      </c>
      <c r="T2" t="s">
        <v>444</v>
      </c>
      <c r="U2" t="s">
        <v>445</v>
      </c>
      <c r="V2" t="s">
        <v>446</v>
      </c>
      <c r="W2" t="s">
        <v>447</v>
      </c>
      <c r="X2" t="s">
        <v>448</v>
      </c>
    </row>
    <row r="3" spans="1:24" x14ac:dyDescent="0.2">
      <c r="A3">
        <v>0</v>
      </c>
      <c r="B3">
        <v>-46.220000000000006</v>
      </c>
      <c r="C3">
        <v>1950</v>
      </c>
      <c r="D3">
        <v>1870</v>
      </c>
      <c r="E3">
        <v>3350</v>
      </c>
      <c r="F3">
        <v>3470</v>
      </c>
      <c r="G3">
        <v>2050</v>
      </c>
      <c r="H3">
        <v>3470</v>
      </c>
      <c r="I3">
        <v>3460</v>
      </c>
      <c r="J3">
        <v>2060</v>
      </c>
      <c r="K3">
        <v>3470</v>
      </c>
      <c r="L3">
        <v>2710</v>
      </c>
      <c r="M3">
        <v>1870</v>
      </c>
      <c r="N3">
        <v>20</v>
      </c>
      <c r="O3">
        <v>6</v>
      </c>
      <c r="Q3">
        <v>4954</v>
      </c>
      <c r="R3">
        <v>2702</v>
      </c>
      <c r="S3">
        <v>3890</v>
      </c>
      <c r="T3">
        <v>30.860000000000007</v>
      </c>
      <c r="U3">
        <v>6.3980000000000006</v>
      </c>
      <c r="V3" s="291">
        <v>6.7000000000000002E-3</v>
      </c>
      <c r="W3">
        <v>4.83</v>
      </c>
      <c r="X3">
        <v>4.05</v>
      </c>
    </row>
    <row r="4" spans="1:24" x14ac:dyDescent="0.2">
      <c r="A4">
        <v>1</v>
      </c>
      <c r="B4">
        <v>-46.720000000000006</v>
      </c>
      <c r="C4">
        <v>1970</v>
      </c>
      <c r="D4">
        <v>1910</v>
      </c>
      <c r="E4">
        <v>3410</v>
      </c>
      <c r="F4">
        <v>3540</v>
      </c>
      <c r="G4">
        <v>2080</v>
      </c>
      <c r="H4">
        <v>3530</v>
      </c>
      <c r="I4">
        <v>3520</v>
      </c>
      <c r="J4">
        <v>2090</v>
      </c>
      <c r="K4">
        <v>3540</v>
      </c>
      <c r="L4">
        <v>2750</v>
      </c>
      <c r="M4">
        <v>1910</v>
      </c>
      <c r="N4">
        <v>20</v>
      </c>
      <c r="O4">
        <v>6</v>
      </c>
      <c r="Q4">
        <v>5032</v>
      </c>
      <c r="R4">
        <v>2744</v>
      </c>
      <c r="S4">
        <v>3928</v>
      </c>
      <c r="T4">
        <v>31.360000000000007</v>
      </c>
      <c r="U4">
        <v>6.3470000000000004</v>
      </c>
      <c r="V4" s="291">
        <v>6.7000000000000002E-3</v>
      </c>
      <c r="W4">
        <v>4.7300000000000004</v>
      </c>
      <c r="X4">
        <v>3.96</v>
      </c>
    </row>
    <row r="5" spans="1:24" x14ac:dyDescent="0.2">
      <c r="A5">
        <v>2</v>
      </c>
      <c r="B5">
        <v>-47.220000000000006</v>
      </c>
      <c r="C5">
        <v>2000</v>
      </c>
      <c r="D5">
        <v>1940</v>
      </c>
      <c r="E5">
        <v>3470</v>
      </c>
      <c r="F5">
        <v>3600</v>
      </c>
      <c r="G5">
        <v>2110</v>
      </c>
      <c r="H5">
        <v>3600</v>
      </c>
      <c r="I5">
        <v>3580</v>
      </c>
      <c r="J5">
        <v>2110</v>
      </c>
      <c r="K5">
        <v>3600</v>
      </c>
      <c r="L5">
        <v>2800</v>
      </c>
      <c r="M5">
        <v>1940</v>
      </c>
      <c r="N5">
        <v>20</v>
      </c>
      <c r="O5">
        <v>6</v>
      </c>
      <c r="Q5">
        <v>5110</v>
      </c>
      <c r="R5">
        <v>2786</v>
      </c>
      <c r="S5">
        <v>3966</v>
      </c>
      <c r="T5">
        <v>31.860000000000007</v>
      </c>
      <c r="U5">
        <v>6.33</v>
      </c>
      <c r="V5" s="291">
        <v>6.7000000000000002E-3</v>
      </c>
      <c r="W5">
        <v>4.6500000000000004</v>
      </c>
      <c r="X5">
        <v>3.9</v>
      </c>
    </row>
    <row r="6" spans="1:24" x14ac:dyDescent="0.2">
      <c r="A6">
        <v>3</v>
      </c>
      <c r="B6">
        <v>-47.720000000000006</v>
      </c>
      <c r="C6">
        <v>2050</v>
      </c>
      <c r="D6">
        <v>1960</v>
      </c>
      <c r="E6">
        <v>3530</v>
      </c>
      <c r="F6">
        <v>3660</v>
      </c>
      <c r="G6">
        <v>2130</v>
      </c>
      <c r="H6">
        <v>3660</v>
      </c>
      <c r="I6">
        <v>3640</v>
      </c>
      <c r="J6">
        <v>2140</v>
      </c>
      <c r="K6">
        <v>3660</v>
      </c>
      <c r="L6">
        <v>2840</v>
      </c>
      <c r="M6">
        <v>1960</v>
      </c>
      <c r="N6">
        <v>20</v>
      </c>
      <c r="O6">
        <v>6</v>
      </c>
      <c r="Q6">
        <v>5187</v>
      </c>
      <c r="R6">
        <v>2828</v>
      </c>
      <c r="S6">
        <v>4004</v>
      </c>
      <c r="T6">
        <v>32.360000000000007</v>
      </c>
      <c r="U6">
        <v>6.3460000000000001</v>
      </c>
      <c r="V6" s="291">
        <v>6.7000000000000002E-3</v>
      </c>
      <c r="W6">
        <v>4.5999999999999996</v>
      </c>
      <c r="X6">
        <v>3.86</v>
      </c>
    </row>
    <row r="7" spans="1:24" x14ac:dyDescent="0.2">
      <c r="A7">
        <v>4</v>
      </c>
      <c r="B7">
        <v>-48.220000000000006</v>
      </c>
      <c r="C7">
        <v>2070</v>
      </c>
      <c r="D7">
        <v>1990</v>
      </c>
      <c r="E7">
        <v>3600</v>
      </c>
      <c r="F7">
        <v>3720</v>
      </c>
      <c r="G7">
        <v>2160</v>
      </c>
      <c r="H7">
        <v>3720</v>
      </c>
      <c r="I7">
        <v>3710</v>
      </c>
      <c r="J7">
        <v>2170</v>
      </c>
      <c r="K7">
        <v>3720</v>
      </c>
      <c r="L7">
        <v>2890</v>
      </c>
      <c r="M7">
        <v>1990</v>
      </c>
      <c r="N7">
        <v>20</v>
      </c>
      <c r="O7">
        <v>6</v>
      </c>
      <c r="Q7">
        <v>5265</v>
      </c>
      <c r="R7">
        <v>2870</v>
      </c>
      <c r="S7">
        <v>4043</v>
      </c>
      <c r="T7">
        <v>32.860000000000007</v>
      </c>
      <c r="U7">
        <v>6.33</v>
      </c>
      <c r="V7" s="291">
        <v>6.7000000000000002E-3</v>
      </c>
      <c r="W7">
        <v>4.54</v>
      </c>
      <c r="X7">
        <v>3.81</v>
      </c>
    </row>
    <row r="8" spans="1:24" x14ac:dyDescent="0.2">
      <c r="A8">
        <v>5</v>
      </c>
      <c r="B8">
        <v>-48.720000000000006</v>
      </c>
      <c r="C8">
        <v>2100</v>
      </c>
      <c r="D8">
        <v>2020</v>
      </c>
      <c r="E8">
        <v>3660</v>
      </c>
      <c r="F8">
        <v>3780</v>
      </c>
      <c r="G8">
        <v>2190</v>
      </c>
      <c r="H8">
        <v>3780</v>
      </c>
      <c r="I8">
        <v>3770</v>
      </c>
      <c r="J8">
        <v>2200</v>
      </c>
      <c r="K8">
        <v>3780</v>
      </c>
      <c r="L8">
        <v>2930</v>
      </c>
      <c r="M8">
        <v>2020</v>
      </c>
      <c r="N8">
        <v>20</v>
      </c>
      <c r="O8">
        <v>6</v>
      </c>
      <c r="Q8">
        <v>5343</v>
      </c>
      <c r="R8">
        <v>2912</v>
      </c>
      <c r="S8">
        <v>4081</v>
      </c>
      <c r="T8">
        <v>33.360000000000007</v>
      </c>
      <c r="U8">
        <v>6.3140000000000001</v>
      </c>
      <c r="V8" s="291">
        <v>6.7000000000000002E-3</v>
      </c>
      <c r="W8">
        <v>4.47</v>
      </c>
      <c r="X8">
        <v>3.75</v>
      </c>
    </row>
    <row r="9" spans="1:24" x14ac:dyDescent="0.2">
      <c r="A9">
        <v>6</v>
      </c>
      <c r="B9">
        <v>-49.220000000000006</v>
      </c>
      <c r="C9">
        <v>2130</v>
      </c>
      <c r="D9">
        <v>2060</v>
      </c>
      <c r="E9">
        <v>3720</v>
      </c>
      <c r="F9">
        <v>3850</v>
      </c>
      <c r="G9">
        <v>2230</v>
      </c>
      <c r="H9">
        <v>3840</v>
      </c>
      <c r="I9">
        <v>3830</v>
      </c>
      <c r="J9">
        <v>2240</v>
      </c>
      <c r="K9">
        <v>3850</v>
      </c>
      <c r="L9">
        <v>2980</v>
      </c>
      <c r="M9">
        <v>2060</v>
      </c>
      <c r="N9">
        <v>20</v>
      </c>
      <c r="O9">
        <v>6</v>
      </c>
      <c r="Q9">
        <v>5423</v>
      </c>
      <c r="R9">
        <v>2954</v>
      </c>
      <c r="S9">
        <v>4119</v>
      </c>
      <c r="T9">
        <v>33.860000000000007</v>
      </c>
      <c r="U9">
        <v>6.2690000000000001</v>
      </c>
      <c r="V9" s="291">
        <v>6.7000000000000002E-3</v>
      </c>
      <c r="W9">
        <v>4.38</v>
      </c>
      <c r="X9">
        <v>3.68</v>
      </c>
    </row>
    <row r="10" spans="1:24" x14ac:dyDescent="0.2">
      <c r="A10">
        <v>7</v>
      </c>
      <c r="B10">
        <v>-49.720000000000006</v>
      </c>
      <c r="C10">
        <v>2160</v>
      </c>
      <c r="D10">
        <v>2090</v>
      </c>
      <c r="E10">
        <v>3780</v>
      </c>
      <c r="F10">
        <v>3910</v>
      </c>
      <c r="G10">
        <v>2260</v>
      </c>
      <c r="H10">
        <v>3910</v>
      </c>
      <c r="I10">
        <v>3890</v>
      </c>
      <c r="J10">
        <v>2270</v>
      </c>
      <c r="K10">
        <v>3910</v>
      </c>
      <c r="L10">
        <v>3030</v>
      </c>
      <c r="M10">
        <v>2090</v>
      </c>
      <c r="N10">
        <v>20</v>
      </c>
      <c r="O10">
        <v>6</v>
      </c>
      <c r="Q10">
        <v>5503</v>
      </c>
      <c r="R10">
        <v>2996</v>
      </c>
      <c r="S10">
        <v>4157</v>
      </c>
      <c r="T10">
        <v>34.360000000000007</v>
      </c>
      <c r="U10">
        <v>6.2560000000000002</v>
      </c>
      <c r="V10" s="291">
        <v>6.7000000000000002E-3</v>
      </c>
      <c r="W10">
        <v>4.32</v>
      </c>
      <c r="X10">
        <v>3.62</v>
      </c>
    </row>
    <row r="11" spans="1:24" x14ac:dyDescent="0.2">
      <c r="A11">
        <v>8</v>
      </c>
      <c r="B11">
        <v>-50.220000000000006</v>
      </c>
      <c r="C11">
        <v>2190</v>
      </c>
      <c r="D11">
        <v>2120</v>
      </c>
      <c r="E11">
        <v>3850</v>
      </c>
      <c r="F11">
        <v>3970</v>
      </c>
      <c r="G11">
        <v>2290</v>
      </c>
      <c r="H11">
        <v>3970</v>
      </c>
      <c r="I11">
        <v>3960</v>
      </c>
      <c r="J11">
        <v>2300</v>
      </c>
      <c r="K11">
        <v>3970</v>
      </c>
      <c r="L11">
        <v>3080</v>
      </c>
      <c r="M11">
        <v>2120</v>
      </c>
      <c r="N11">
        <v>20</v>
      </c>
      <c r="O11">
        <v>6</v>
      </c>
      <c r="Q11">
        <v>5583</v>
      </c>
      <c r="R11">
        <v>3038</v>
      </c>
      <c r="S11">
        <v>4195</v>
      </c>
      <c r="T11">
        <v>34.860000000000007</v>
      </c>
      <c r="U11">
        <v>6.2430000000000003</v>
      </c>
      <c r="V11" s="291">
        <v>6.7000000000000002E-3</v>
      </c>
      <c r="W11">
        <v>4.26</v>
      </c>
      <c r="X11">
        <v>3.57</v>
      </c>
    </row>
    <row r="12" spans="1:24" x14ac:dyDescent="0.2">
      <c r="A12">
        <v>9</v>
      </c>
      <c r="B12">
        <v>-50.720000000000006</v>
      </c>
      <c r="C12">
        <v>2230</v>
      </c>
      <c r="D12">
        <v>2150</v>
      </c>
      <c r="E12">
        <v>3910</v>
      </c>
      <c r="F12">
        <v>4030</v>
      </c>
      <c r="G12">
        <v>2320</v>
      </c>
      <c r="H12">
        <v>4030</v>
      </c>
      <c r="I12">
        <v>4020</v>
      </c>
      <c r="J12">
        <v>2330</v>
      </c>
      <c r="K12">
        <v>4030</v>
      </c>
      <c r="L12">
        <v>3120</v>
      </c>
      <c r="M12">
        <v>2150</v>
      </c>
      <c r="N12">
        <v>20</v>
      </c>
      <c r="O12">
        <v>6</v>
      </c>
      <c r="Q12">
        <v>5663</v>
      </c>
      <c r="R12">
        <v>3080</v>
      </c>
      <c r="S12">
        <v>4233</v>
      </c>
      <c r="T12">
        <v>35.360000000000007</v>
      </c>
      <c r="U12">
        <v>6.23</v>
      </c>
      <c r="V12" s="291">
        <v>6.7000000000000002E-3</v>
      </c>
      <c r="W12">
        <v>4.2</v>
      </c>
      <c r="X12">
        <v>3.52</v>
      </c>
    </row>
    <row r="13" spans="1:24" x14ac:dyDescent="0.2">
      <c r="A13">
        <v>10</v>
      </c>
      <c r="B13">
        <v>-51.220000000000006</v>
      </c>
      <c r="C13">
        <v>2260</v>
      </c>
      <c r="D13">
        <v>2180</v>
      </c>
      <c r="E13">
        <v>3970</v>
      </c>
      <c r="F13">
        <v>4100</v>
      </c>
      <c r="G13">
        <v>2350</v>
      </c>
      <c r="H13">
        <v>4090</v>
      </c>
      <c r="I13">
        <v>4080</v>
      </c>
      <c r="J13">
        <v>2360</v>
      </c>
      <c r="K13">
        <v>4100</v>
      </c>
      <c r="L13">
        <v>3170</v>
      </c>
      <c r="M13">
        <v>2180</v>
      </c>
      <c r="N13">
        <v>20</v>
      </c>
      <c r="O13">
        <v>6</v>
      </c>
      <c r="Q13">
        <v>5743</v>
      </c>
      <c r="R13">
        <v>3122</v>
      </c>
      <c r="S13">
        <v>4272</v>
      </c>
      <c r="T13">
        <v>35.860000000000007</v>
      </c>
      <c r="U13">
        <v>6.218</v>
      </c>
      <c r="V13" s="291">
        <v>6.7000000000000002E-3</v>
      </c>
      <c r="W13">
        <v>4.1399999999999997</v>
      </c>
      <c r="X13">
        <v>3.47</v>
      </c>
    </row>
    <row r="14" spans="1:24" x14ac:dyDescent="0.2">
      <c r="V14" s="291"/>
    </row>
    <row r="15" spans="1:24" x14ac:dyDescent="0.2">
      <c r="V15" s="291"/>
    </row>
    <row r="16" spans="1:24" x14ac:dyDescent="0.2">
      <c r="V16" s="291"/>
    </row>
    <row r="17" spans="22:22" x14ac:dyDescent="0.2">
      <c r="V17" s="291"/>
    </row>
    <row r="18" spans="22:22" x14ac:dyDescent="0.2">
      <c r="V18" s="291"/>
    </row>
    <row r="19" spans="22:22" x14ac:dyDescent="0.2">
      <c r="V19" s="291"/>
    </row>
    <row r="20" spans="22:22" x14ac:dyDescent="0.2">
      <c r="V20" s="291"/>
    </row>
    <row r="21" spans="22:22" x14ac:dyDescent="0.2">
      <c r="V21" s="291"/>
    </row>
    <row r="22" spans="22:22" x14ac:dyDescent="0.2">
      <c r="V22" s="291"/>
    </row>
    <row r="23" spans="22:22" x14ac:dyDescent="0.2">
      <c r="V23" s="291"/>
    </row>
    <row r="24" spans="22:22" x14ac:dyDescent="0.2">
      <c r="V24" s="291"/>
    </row>
    <row r="25" spans="22:22" x14ac:dyDescent="0.2">
      <c r="V25" s="291"/>
    </row>
    <row r="26" spans="22:22" x14ac:dyDescent="0.2">
      <c r="V26" s="291"/>
    </row>
    <row r="27" spans="22:22" x14ac:dyDescent="0.2">
      <c r="V27" s="291"/>
    </row>
    <row r="28" spans="22:22" x14ac:dyDescent="0.2">
      <c r="V28" s="291"/>
    </row>
    <row r="29" spans="22:22" x14ac:dyDescent="0.2">
      <c r="V29" s="291"/>
    </row>
    <row r="30" spans="22:22" x14ac:dyDescent="0.2">
      <c r="V30" s="291"/>
    </row>
    <row r="31" spans="22:22" x14ac:dyDescent="0.2">
      <c r="V31" s="291"/>
    </row>
    <row r="32" spans="22:22" x14ac:dyDescent="0.2">
      <c r="V32" s="291"/>
    </row>
    <row r="33" spans="22:22" x14ac:dyDescent="0.2">
      <c r="V33" s="291"/>
    </row>
  </sheetData>
  <sheetProtection formatCells="0" formatColumns="0" formatRows="0" insertColumns="0" insertRows="0" insertHyperlinks="0" deleteColumns="0" deleteRows="0" sort="0" autoFilter="0" pivotTables="0"/>
  <phoneticPr fontId="2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K73"/>
  <sheetViews>
    <sheetView workbookViewId="0">
      <selection activeCell="K37" sqref="K37"/>
    </sheetView>
  </sheetViews>
  <sheetFormatPr defaultRowHeight="12.75" x14ac:dyDescent="0.2"/>
  <cols>
    <col min="1" max="1" width="12.42578125" style="299" customWidth="1"/>
    <col min="3" max="3" width="11.85546875" customWidth="1"/>
    <col min="6" max="6" width="11.5703125" customWidth="1"/>
    <col min="7" max="7" width="11.140625" customWidth="1"/>
    <col min="8" max="8" width="12.28515625" customWidth="1"/>
    <col min="9" max="9" width="14.85546875" customWidth="1"/>
    <col min="10" max="10" width="13.85546875" customWidth="1"/>
    <col min="11" max="11" width="13" customWidth="1"/>
  </cols>
  <sheetData>
    <row r="1" spans="1:11" s="403" customFormat="1" ht="24.75" customHeight="1" x14ac:dyDescent="0.2">
      <c r="A1" s="292" t="s">
        <v>465</v>
      </c>
      <c r="B1" s="293" t="s">
        <v>466</v>
      </c>
      <c r="C1" s="294" t="s">
        <v>467</v>
      </c>
      <c r="D1" s="293" t="s">
        <v>468</v>
      </c>
      <c r="E1" s="294" t="s">
        <v>469</v>
      </c>
      <c r="F1" s="294" t="s">
        <v>470</v>
      </c>
      <c r="G1" s="293" t="s">
        <v>471</v>
      </c>
      <c r="H1" s="294" t="s">
        <v>472</v>
      </c>
      <c r="I1" s="294" t="s">
        <v>473</v>
      </c>
      <c r="J1" s="294" t="s">
        <v>474</v>
      </c>
      <c r="K1" s="402" t="s">
        <v>475</v>
      </c>
    </row>
    <row r="2" spans="1:11" s="49" customFormat="1" x14ac:dyDescent="0.2">
      <c r="A2" s="85">
        <v>0.6</v>
      </c>
      <c r="B2" s="300" t="s">
        <v>128</v>
      </c>
      <c r="C2" s="85">
        <v>50.460000000000008</v>
      </c>
      <c r="D2" s="85">
        <v>84.1</v>
      </c>
      <c r="E2" s="85">
        <v>30.360000000000007</v>
      </c>
      <c r="F2" s="85">
        <v>1010</v>
      </c>
      <c r="G2" s="301">
        <v>2.2599999999999999E-2</v>
      </c>
      <c r="H2" s="85">
        <v>1.59</v>
      </c>
      <c r="I2" s="85">
        <v>15.774000000000001</v>
      </c>
      <c r="J2" s="49">
        <v>0</v>
      </c>
      <c r="K2" s="49">
        <v>0</v>
      </c>
    </row>
    <row r="3" spans="1:11" x14ac:dyDescent="0.2">
      <c r="A3" s="299">
        <v>0.6</v>
      </c>
      <c r="B3" s="297" t="s">
        <v>132</v>
      </c>
      <c r="C3">
        <v>61.960000000000008</v>
      </c>
      <c r="D3">
        <v>103.3</v>
      </c>
      <c r="E3">
        <v>41.860000000000007</v>
      </c>
      <c r="F3">
        <v>1480</v>
      </c>
      <c r="G3" s="291">
        <v>3.4099999999999998E-2</v>
      </c>
      <c r="H3">
        <v>2.59</v>
      </c>
      <c r="I3">
        <v>17.565999999999999</v>
      </c>
      <c r="J3">
        <v>0</v>
      </c>
      <c r="K3">
        <v>0</v>
      </c>
    </row>
    <row r="4" spans="1:11" x14ac:dyDescent="0.2">
      <c r="A4" s="299">
        <v>0.6</v>
      </c>
      <c r="B4" s="298" t="s">
        <v>130</v>
      </c>
      <c r="C4">
        <v>70.239999999999995</v>
      </c>
      <c r="D4">
        <v>117.1</v>
      </c>
      <c r="E4">
        <v>50.14</v>
      </c>
      <c r="F4">
        <v>1800</v>
      </c>
      <c r="G4" s="291">
        <v>4.3200000000000002E-2</v>
      </c>
      <c r="H4">
        <v>3.5</v>
      </c>
      <c r="I4">
        <v>19.478000000000002</v>
      </c>
      <c r="J4">
        <v>0</v>
      </c>
      <c r="K4">
        <v>0</v>
      </c>
    </row>
    <row r="5" spans="1:11" x14ac:dyDescent="0.2">
      <c r="A5" s="299">
        <v>0.6</v>
      </c>
      <c r="B5" s="298" t="s">
        <v>131</v>
      </c>
      <c r="C5">
        <v>70.959999999999994</v>
      </c>
      <c r="D5">
        <v>118.3</v>
      </c>
      <c r="E5">
        <v>50.86</v>
      </c>
      <c r="F5">
        <v>1800</v>
      </c>
      <c r="G5" s="291">
        <v>4.3200000000000002E-2</v>
      </c>
      <c r="H5">
        <v>3.5500000000000003</v>
      </c>
      <c r="I5">
        <v>19.741</v>
      </c>
      <c r="J5">
        <v>0</v>
      </c>
      <c r="K5">
        <v>0</v>
      </c>
    </row>
    <row r="6" spans="1:11" x14ac:dyDescent="0.2">
      <c r="A6" s="299">
        <v>0.65</v>
      </c>
      <c r="B6" s="298" t="s">
        <v>128</v>
      </c>
      <c r="C6">
        <v>50.56</v>
      </c>
      <c r="D6">
        <v>77.8</v>
      </c>
      <c r="E6">
        <v>30.46</v>
      </c>
      <c r="F6">
        <v>1110</v>
      </c>
      <c r="G6" s="291">
        <v>2.07E-2</v>
      </c>
      <c r="H6">
        <v>1.81</v>
      </c>
      <c r="I6">
        <v>16.367000000000001</v>
      </c>
      <c r="J6">
        <v>0</v>
      </c>
      <c r="K6">
        <v>0</v>
      </c>
    </row>
    <row r="7" spans="1:11" x14ac:dyDescent="0.2">
      <c r="A7" s="299">
        <v>0.65</v>
      </c>
      <c r="B7" s="298" t="s">
        <v>132</v>
      </c>
      <c r="C7">
        <v>62.06</v>
      </c>
      <c r="D7">
        <v>95.5</v>
      </c>
      <c r="E7">
        <v>41.96</v>
      </c>
      <c r="F7">
        <v>1620</v>
      </c>
      <c r="G7" s="291">
        <v>3.3700000000000001E-2</v>
      </c>
      <c r="H7">
        <v>3.0500000000000003</v>
      </c>
      <c r="I7">
        <v>18.885000000000002</v>
      </c>
      <c r="J7">
        <v>0</v>
      </c>
      <c r="K7">
        <v>0</v>
      </c>
    </row>
    <row r="8" spans="1:11" x14ac:dyDescent="0.2">
      <c r="A8" s="299">
        <v>0.65</v>
      </c>
      <c r="B8" s="298" t="s">
        <v>130</v>
      </c>
      <c r="C8">
        <v>70.339999999999989</v>
      </c>
      <c r="D8">
        <v>108.2</v>
      </c>
      <c r="E8">
        <v>50.239999999999995</v>
      </c>
      <c r="F8">
        <v>1970</v>
      </c>
      <c r="G8" s="291">
        <v>3.9899999999999998E-2</v>
      </c>
      <c r="H8">
        <v>3.89</v>
      </c>
      <c r="I8">
        <v>19.765000000000001</v>
      </c>
      <c r="J8">
        <v>0</v>
      </c>
      <c r="K8">
        <v>0</v>
      </c>
    </row>
    <row r="9" spans="1:11" x14ac:dyDescent="0.2">
      <c r="A9" s="299">
        <v>0.65</v>
      </c>
      <c r="B9" s="298" t="s">
        <v>131</v>
      </c>
      <c r="C9">
        <v>71.059999999999988</v>
      </c>
      <c r="D9">
        <v>109.3</v>
      </c>
      <c r="E9">
        <v>50.959999999999994</v>
      </c>
      <c r="F9">
        <v>1970</v>
      </c>
      <c r="G9" s="291">
        <v>3.9899999999999998E-2</v>
      </c>
      <c r="H9">
        <v>3.94</v>
      </c>
      <c r="I9">
        <v>20.030999999999999</v>
      </c>
      <c r="J9">
        <v>0</v>
      </c>
      <c r="K9">
        <v>0</v>
      </c>
    </row>
    <row r="10" spans="1:11" x14ac:dyDescent="0.2">
      <c r="A10" s="299">
        <v>0.7</v>
      </c>
      <c r="B10" s="297" t="s">
        <v>128</v>
      </c>
      <c r="C10">
        <v>50.660000000000004</v>
      </c>
      <c r="D10">
        <v>72.400000000000006</v>
      </c>
      <c r="E10">
        <v>30.560000000000002</v>
      </c>
      <c r="F10">
        <v>1210</v>
      </c>
      <c r="G10" s="291">
        <v>2.0400000000000001E-2</v>
      </c>
      <c r="H10">
        <v>2.09</v>
      </c>
      <c r="I10">
        <v>17.315000000000001</v>
      </c>
      <c r="J10">
        <v>0</v>
      </c>
      <c r="K10">
        <v>0</v>
      </c>
    </row>
    <row r="11" spans="1:11" x14ac:dyDescent="0.2">
      <c r="A11" s="299">
        <v>0.7</v>
      </c>
      <c r="B11" s="297" t="s">
        <v>132</v>
      </c>
      <c r="C11">
        <v>62.160000000000004</v>
      </c>
      <c r="D11">
        <v>88.8</v>
      </c>
      <c r="E11">
        <v>42.06</v>
      </c>
      <c r="F11">
        <v>1770</v>
      </c>
      <c r="G11" s="291">
        <v>3.1300000000000001E-2</v>
      </c>
      <c r="H11">
        <v>3.4</v>
      </c>
      <c r="I11">
        <v>19.248999999999999</v>
      </c>
      <c r="J11">
        <v>0</v>
      </c>
      <c r="K11">
        <v>0</v>
      </c>
    </row>
    <row r="12" spans="1:11" x14ac:dyDescent="0.2">
      <c r="A12" s="299">
        <v>0.7</v>
      </c>
      <c r="B12" s="298" t="s">
        <v>130</v>
      </c>
      <c r="C12">
        <v>70.44</v>
      </c>
      <c r="D12">
        <v>100.6</v>
      </c>
      <c r="E12">
        <v>50.34</v>
      </c>
      <c r="F12">
        <v>2140</v>
      </c>
      <c r="G12" s="291">
        <v>3.9199999999999999E-2</v>
      </c>
      <c r="H12">
        <v>4.5</v>
      </c>
      <c r="I12">
        <v>21.068000000000001</v>
      </c>
      <c r="J12">
        <v>0</v>
      </c>
      <c r="K12">
        <v>0</v>
      </c>
    </row>
    <row r="13" spans="1:11" x14ac:dyDescent="0.2">
      <c r="A13" s="299">
        <v>0.7</v>
      </c>
      <c r="B13" s="298" t="s">
        <v>131</v>
      </c>
      <c r="C13">
        <v>71.16</v>
      </c>
      <c r="D13">
        <v>101.7</v>
      </c>
      <c r="E13">
        <v>51.06</v>
      </c>
      <c r="F13">
        <v>2140</v>
      </c>
      <c r="G13" s="291">
        <v>3.9199999999999999E-2</v>
      </c>
      <c r="H13">
        <v>4.5600000000000005</v>
      </c>
      <c r="I13">
        <v>21.350999999999999</v>
      </c>
      <c r="J13">
        <v>0</v>
      </c>
      <c r="K13">
        <v>0</v>
      </c>
    </row>
    <row r="14" spans="1:11" x14ac:dyDescent="0.2">
      <c r="A14" s="299">
        <v>0.75</v>
      </c>
      <c r="B14" t="s">
        <v>128</v>
      </c>
      <c r="C14">
        <v>50.760000000000005</v>
      </c>
      <c r="D14">
        <v>67.7</v>
      </c>
      <c r="E14">
        <v>30.660000000000004</v>
      </c>
      <c r="F14">
        <v>1320</v>
      </c>
      <c r="G14" s="291">
        <v>1.89E-2</v>
      </c>
      <c r="H14">
        <v>2.3199999999999998</v>
      </c>
      <c r="I14">
        <v>17.623000000000001</v>
      </c>
      <c r="J14">
        <v>0</v>
      </c>
      <c r="K14">
        <v>0</v>
      </c>
    </row>
    <row r="15" spans="1:11" x14ac:dyDescent="0.2">
      <c r="A15" s="299">
        <v>0.75</v>
      </c>
      <c r="B15" s="298" t="s">
        <v>132</v>
      </c>
      <c r="C15">
        <v>62.260000000000005</v>
      </c>
      <c r="D15">
        <v>83</v>
      </c>
      <c r="E15">
        <v>42.160000000000004</v>
      </c>
      <c r="F15">
        <v>1920</v>
      </c>
      <c r="G15" s="291">
        <v>2.9100000000000001E-2</v>
      </c>
      <c r="H15">
        <v>3.74</v>
      </c>
      <c r="I15">
        <v>19.516000000000002</v>
      </c>
      <c r="J15">
        <v>0</v>
      </c>
      <c r="K15">
        <v>0</v>
      </c>
    </row>
    <row r="16" spans="1:11" x14ac:dyDescent="0.2">
      <c r="A16" s="299">
        <v>0.75</v>
      </c>
      <c r="B16" t="s">
        <v>130</v>
      </c>
      <c r="C16">
        <v>70.539999999999992</v>
      </c>
      <c r="D16">
        <v>94.1</v>
      </c>
      <c r="E16">
        <v>50.44</v>
      </c>
      <c r="F16">
        <v>2320</v>
      </c>
      <c r="G16" s="291">
        <v>3.6900000000000002E-2</v>
      </c>
      <c r="H16">
        <v>5</v>
      </c>
      <c r="I16">
        <v>21.562000000000001</v>
      </c>
      <c r="J16">
        <v>0</v>
      </c>
      <c r="K16">
        <v>0</v>
      </c>
    </row>
    <row r="17" spans="1:11" x14ac:dyDescent="0.2">
      <c r="A17" s="299">
        <v>0.75</v>
      </c>
      <c r="B17" s="298" t="s">
        <v>131</v>
      </c>
      <c r="C17">
        <v>71.259999999999991</v>
      </c>
      <c r="D17">
        <v>95</v>
      </c>
      <c r="E17">
        <v>51.16</v>
      </c>
      <c r="F17">
        <v>2320</v>
      </c>
      <c r="G17" s="291">
        <v>3.6900000000000002E-2</v>
      </c>
      <c r="H17">
        <v>5.0600000000000005</v>
      </c>
      <c r="I17">
        <v>21.850999999999999</v>
      </c>
      <c r="J17">
        <v>0</v>
      </c>
      <c r="K17">
        <v>0</v>
      </c>
    </row>
    <row r="18" spans="1:11" x14ac:dyDescent="0.2">
      <c r="A18" s="299">
        <v>0.8</v>
      </c>
      <c r="B18" s="297" t="s">
        <v>128</v>
      </c>
      <c r="C18">
        <v>50.860000000000007</v>
      </c>
      <c r="D18">
        <v>63.6</v>
      </c>
      <c r="E18">
        <v>30.760000000000005</v>
      </c>
      <c r="F18">
        <v>1430</v>
      </c>
      <c r="G18" s="291">
        <v>1.7600000000000001E-2</v>
      </c>
      <c r="H18">
        <v>2.59</v>
      </c>
      <c r="I18">
        <v>18.116</v>
      </c>
      <c r="J18">
        <v>0</v>
      </c>
      <c r="K18">
        <v>0</v>
      </c>
    </row>
    <row r="19" spans="1:11" x14ac:dyDescent="0.2">
      <c r="A19" s="299">
        <v>0.8</v>
      </c>
      <c r="B19" s="297" t="s">
        <v>132</v>
      </c>
      <c r="C19">
        <v>62.360000000000007</v>
      </c>
      <c r="D19">
        <v>78</v>
      </c>
      <c r="E19">
        <v>42.260000000000005</v>
      </c>
      <c r="F19">
        <v>2070</v>
      </c>
      <c r="G19" s="291">
        <v>2.8799999999999999E-2</v>
      </c>
      <c r="H19">
        <v>4.24</v>
      </c>
      <c r="I19">
        <v>20.489000000000001</v>
      </c>
      <c r="J19">
        <v>0</v>
      </c>
      <c r="K19">
        <v>0</v>
      </c>
    </row>
    <row r="20" spans="1:11" x14ac:dyDescent="0.2">
      <c r="A20" s="299">
        <v>0.8</v>
      </c>
      <c r="B20" s="298" t="s">
        <v>130</v>
      </c>
      <c r="C20">
        <v>70.639999999999986</v>
      </c>
      <c r="D20">
        <v>88.3</v>
      </c>
      <c r="E20">
        <v>50.539999999999992</v>
      </c>
      <c r="F20">
        <v>2490</v>
      </c>
      <c r="G20" s="291">
        <v>3.44E-2</v>
      </c>
      <c r="H20">
        <v>5.45</v>
      </c>
      <c r="I20">
        <v>21.893000000000001</v>
      </c>
      <c r="J20">
        <v>0</v>
      </c>
      <c r="K20">
        <v>0</v>
      </c>
    </row>
    <row r="21" spans="1:11" x14ac:dyDescent="0.2">
      <c r="A21" s="299">
        <v>0.8</v>
      </c>
      <c r="B21" s="298" t="s">
        <v>131</v>
      </c>
      <c r="C21">
        <v>71.359999999999985</v>
      </c>
      <c r="D21">
        <v>89.2</v>
      </c>
      <c r="E21">
        <v>51.259999999999991</v>
      </c>
      <c r="F21">
        <v>2490</v>
      </c>
      <c r="G21" s="291">
        <v>3.44E-2</v>
      </c>
      <c r="H21">
        <v>5.5200000000000005</v>
      </c>
      <c r="I21">
        <v>22.184999999999999</v>
      </c>
      <c r="J21">
        <v>0</v>
      </c>
      <c r="K21">
        <v>0</v>
      </c>
    </row>
    <row r="22" spans="1:11" x14ac:dyDescent="0.2">
      <c r="A22" s="299">
        <v>0.85</v>
      </c>
      <c r="B22" t="s">
        <v>128</v>
      </c>
      <c r="C22">
        <v>50.960000000000008</v>
      </c>
      <c r="D22">
        <v>60</v>
      </c>
      <c r="E22">
        <v>30.860000000000007</v>
      </c>
      <c r="F22">
        <v>1540</v>
      </c>
      <c r="G22" s="291">
        <v>1.6400000000000001E-2</v>
      </c>
      <c r="H22">
        <v>2.86</v>
      </c>
      <c r="I22">
        <v>18.629000000000001</v>
      </c>
      <c r="J22">
        <v>0</v>
      </c>
      <c r="K22">
        <v>0</v>
      </c>
    </row>
    <row r="23" spans="1:11" x14ac:dyDescent="0.2">
      <c r="A23" s="299">
        <v>0.85</v>
      </c>
      <c r="B23" s="298" t="s">
        <v>132</v>
      </c>
      <c r="C23">
        <v>62.460000000000008</v>
      </c>
      <c r="D23">
        <v>73.5</v>
      </c>
      <c r="E23">
        <v>42.360000000000007</v>
      </c>
      <c r="F23">
        <v>2230</v>
      </c>
      <c r="G23" s="291">
        <v>2.69E-2</v>
      </c>
      <c r="H23">
        <v>4.66</v>
      </c>
      <c r="I23">
        <v>20.902000000000001</v>
      </c>
      <c r="J23">
        <v>0</v>
      </c>
      <c r="K23">
        <v>0</v>
      </c>
    </row>
    <row r="24" spans="1:11" x14ac:dyDescent="0.2">
      <c r="A24" s="299">
        <v>0.85</v>
      </c>
      <c r="B24" t="s">
        <v>130</v>
      </c>
      <c r="C24">
        <v>70.739999999999995</v>
      </c>
      <c r="D24">
        <v>83.2</v>
      </c>
      <c r="E24">
        <v>50.64</v>
      </c>
      <c r="F24">
        <v>2670</v>
      </c>
      <c r="G24" s="291">
        <v>3.2300000000000002E-2</v>
      </c>
      <c r="H24">
        <v>5.98</v>
      </c>
      <c r="I24">
        <v>22.427</v>
      </c>
      <c r="J24">
        <v>0</v>
      </c>
      <c r="K24">
        <v>0</v>
      </c>
    </row>
    <row r="25" spans="1:11" x14ac:dyDescent="0.2">
      <c r="A25" s="299">
        <v>0.85</v>
      </c>
      <c r="B25" s="298" t="s">
        <v>131</v>
      </c>
      <c r="C25">
        <v>71.459999999999994</v>
      </c>
      <c r="D25">
        <v>84.1</v>
      </c>
      <c r="E25">
        <v>51.36</v>
      </c>
      <c r="F25">
        <v>2670</v>
      </c>
      <c r="G25" s="291">
        <v>3.2300000000000002E-2</v>
      </c>
      <c r="H25">
        <v>6.0600000000000005</v>
      </c>
      <c r="I25">
        <v>22.725999999999999</v>
      </c>
      <c r="J25">
        <v>0</v>
      </c>
      <c r="K25">
        <v>0</v>
      </c>
    </row>
    <row r="26" spans="1:11" x14ac:dyDescent="0.2">
      <c r="A26" s="299">
        <v>0.9</v>
      </c>
      <c r="B26" s="297" t="s">
        <v>128</v>
      </c>
      <c r="C26">
        <v>51.06</v>
      </c>
      <c r="D26">
        <v>56.7</v>
      </c>
      <c r="E26">
        <v>30.96</v>
      </c>
      <c r="F26">
        <v>1620</v>
      </c>
      <c r="G26" s="291">
        <v>1.54E-2</v>
      </c>
      <c r="H26">
        <v>3.14</v>
      </c>
      <c r="I26">
        <v>19.388000000000002</v>
      </c>
      <c r="J26">
        <v>0</v>
      </c>
      <c r="K26">
        <v>0</v>
      </c>
    </row>
    <row r="27" spans="1:11" x14ac:dyDescent="0.2">
      <c r="A27" s="299">
        <v>0.9</v>
      </c>
      <c r="B27" s="297" t="s">
        <v>132</v>
      </c>
      <c r="C27">
        <v>62.56</v>
      </c>
      <c r="D27">
        <v>69.5</v>
      </c>
      <c r="E27">
        <v>42.46</v>
      </c>
      <c r="F27">
        <v>2340</v>
      </c>
      <c r="G27" s="291">
        <v>2.53E-2</v>
      </c>
      <c r="H27">
        <v>5.05</v>
      </c>
      <c r="I27">
        <v>21.599</v>
      </c>
      <c r="J27">
        <v>0</v>
      </c>
      <c r="K27">
        <v>0</v>
      </c>
    </row>
    <row r="28" spans="1:11" x14ac:dyDescent="0.2">
      <c r="A28" s="299">
        <v>0.9</v>
      </c>
      <c r="B28" s="298" t="s">
        <v>130</v>
      </c>
      <c r="C28">
        <v>70.839999999999989</v>
      </c>
      <c r="D28">
        <v>78.7</v>
      </c>
      <c r="E28">
        <v>50.739999999999995</v>
      </c>
      <c r="F28">
        <v>2800</v>
      </c>
      <c r="G28" s="291">
        <v>3.04E-2</v>
      </c>
      <c r="H28">
        <v>6.54</v>
      </c>
      <c r="I28">
        <v>23.376999999999999</v>
      </c>
      <c r="J28">
        <v>0</v>
      </c>
      <c r="K28">
        <v>0</v>
      </c>
    </row>
    <row r="29" spans="1:11" x14ac:dyDescent="0.2">
      <c r="A29" s="299">
        <v>0.9</v>
      </c>
      <c r="B29" s="298" t="s">
        <v>131</v>
      </c>
      <c r="C29">
        <v>71.559999999999988</v>
      </c>
      <c r="D29">
        <v>79.5</v>
      </c>
      <c r="E29">
        <v>51.459999999999994</v>
      </c>
      <c r="F29">
        <v>2800</v>
      </c>
      <c r="G29" s="291">
        <v>3.04E-2</v>
      </c>
      <c r="H29">
        <v>6.63</v>
      </c>
      <c r="I29">
        <v>23.687000000000001</v>
      </c>
      <c r="J29">
        <v>0</v>
      </c>
      <c r="K29">
        <v>0</v>
      </c>
    </row>
    <row r="30" spans="1:11" x14ac:dyDescent="0.2">
      <c r="A30" s="299">
        <v>0.95</v>
      </c>
      <c r="B30" t="s">
        <v>128</v>
      </c>
      <c r="C30">
        <v>51.160000000000004</v>
      </c>
      <c r="D30">
        <v>53.9</v>
      </c>
      <c r="E30">
        <v>31.060000000000002</v>
      </c>
      <c r="F30">
        <v>1720</v>
      </c>
      <c r="G30" s="291">
        <v>1.4500000000000001E-2</v>
      </c>
      <c r="H30">
        <v>3.42</v>
      </c>
      <c r="I30">
        <v>19.923000000000002</v>
      </c>
      <c r="J30">
        <v>0</v>
      </c>
      <c r="K30">
        <v>0</v>
      </c>
    </row>
    <row r="31" spans="1:11" x14ac:dyDescent="0.2">
      <c r="A31" s="299">
        <v>0.95</v>
      </c>
      <c r="B31" s="298" t="s">
        <v>132</v>
      </c>
      <c r="C31">
        <v>62.660000000000004</v>
      </c>
      <c r="D31">
        <v>66</v>
      </c>
      <c r="E31">
        <v>42.56</v>
      </c>
      <c r="F31">
        <v>2480</v>
      </c>
      <c r="G31" s="291">
        <v>2.3800000000000002E-2</v>
      </c>
      <c r="H31">
        <v>5.46</v>
      </c>
      <c r="I31">
        <v>22.036000000000001</v>
      </c>
      <c r="J31">
        <v>0</v>
      </c>
      <c r="K31">
        <v>0</v>
      </c>
    </row>
    <row r="32" spans="1:11" x14ac:dyDescent="0.2">
      <c r="A32" s="299">
        <v>0.95</v>
      </c>
      <c r="B32" t="s">
        <v>130</v>
      </c>
      <c r="C32">
        <v>70.94</v>
      </c>
      <c r="D32">
        <v>74.7</v>
      </c>
      <c r="E32">
        <v>50.84</v>
      </c>
      <c r="F32">
        <v>2960</v>
      </c>
      <c r="G32" s="291">
        <v>3.0099999999999998E-2</v>
      </c>
      <c r="H32">
        <v>7.18</v>
      </c>
      <c r="I32">
        <v>24.275000000000002</v>
      </c>
      <c r="J32">
        <v>0</v>
      </c>
      <c r="K32">
        <v>0</v>
      </c>
    </row>
    <row r="33" spans="1:11" x14ac:dyDescent="0.2">
      <c r="A33" s="299">
        <v>0.95</v>
      </c>
      <c r="B33" s="298" t="s">
        <v>131</v>
      </c>
      <c r="C33">
        <v>71.66</v>
      </c>
      <c r="D33">
        <v>75.400000000000006</v>
      </c>
      <c r="E33">
        <v>51.56</v>
      </c>
      <c r="F33">
        <v>2960</v>
      </c>
      <c r="G33" s="291">
        <v>3.0099999999999998E-2</v>
      </c>
      <c r="H33">
        <v>7.28</v>
      </c>
      <c r="I33">
        <v>24.596</v>
      </c>
      <c r="J33">
        <v>0</v>
      </c>
      <c r="K33">
        <v>0</v>
      </c>
    </row>
    <row r="34" spans="1:11" x14ac:dyDescent="0.2">
      <c r="A34" s="299">
        <v>1</v>
      </c>
      <c r="B34" s="297" t="s">
        <v>128</v>
      </c>
      <c r="C34">
        <v>51.260000000000005</v>
      </c>
      <c r="D34">
        <v>51.3</v>
      </c>
      <c r="E34">
        <v>31.160000000000004</v>
      </c>
      <c r="F34">
        <v>1820</v>
      </c>
      <c r="G34" s="291">
        <v>1.38E-2</v>
      </c>
      <c r="H34">
        <v>3.74</v>
      </c>
      <c r="I34">
        <v>20.586000000000002</v>
      </c>
      <c r="J34">
        <v>0</v>
      </c>
      <c r="K34">
        <v>0</v>
      </c>
    </row>
    <row r="35" spans="1:11" x14ac:dyDescent="0.2">
      <c r="A35" s="299">
        <v>1</v>
      </c>
      <c r="B35" s="297" t="s">
        <v>132</v>
      </c>
      <c r="C35">
        <v>62.760000000000005</v>
      </c>
      <c r="D35">
        <v>62.8</v>
      </c>
      <c r="E35">
        <v>42.660000000000004</v>
      </c>
      <c r="F35">
        <v>2620</v>
      </c>
      <c r="G35" s="291">
        <v>2.2499999999999999E-2</v>
      </c>
      <c r="H35">
        <v>5.93</v>
      </c>
      <c r="I35">
        <v>22.666</v>
      </c>
      <c r="J35">
        <v>0</v>
      </c>
      <c r="K35">
        <v>0</v>
      </c>
    </row>
    <row r="36" spans="1:11" x14ac:dyDescent="0.2">
      <c r="A36" s="299">
        <v>1</v>
      </c>
      <c r="B36" s="298" t="s">
        <v>130</v>
      </c>
      <c r="C36">
        <v>71.039999999999992</v>
      </c>
      <c r="D36">
        <v>71</v>
      </c>
      <c r="E36">
        <v>50.94</v>
      </c>
      <c r="F36">
        <v>3120</v>
      </c>
      <c r="G36" s="291">
        <v>2.8500000000000001E-2</v>
      </c>
      <c r="H36">
        <v>7.79</v>
      </c>
      <c r="I36">
        <v>24.984000000000002</v>
      </c>
      <c r="J36">
        <v>0</v>
      </c>
      <c r="K36">
        <v>0</v>
      </c>
    </row>
    <row r="37" spans="1:11" x14ac:dyDescent="0.2">
      <c r="A37" s="299">
        <v>1</v>
      </c>
      <c r="B37" s="298" t="s">
        <v>131</v>
      </c>
      <c r="C37">
        <v>71.759999999999991</v>
      </c>
      <c r="D37">
        <v>71.8</v>
      </c>
      <c r="E37">
        <v>51.66</v>
      </c>
      <c r="F37">
        <v>3120</v>
      </c>
      <c r="G37" s="291">
        <v>2.8500000000000001E-2</v>
      </c>
      <c r="H37">
        <v>7.8900000000000006</v>
      </c>
      <c r="I37">
        <v>25.312999999999999</v>
      </c>
      <c r="J37">
        <v>0</v>
      </c>
      <c r="K37">
        <v>0</v>
      </c>
    </row>
    <row r="38" spans="1:11" x14ac:dyDescent="0.2">
      <c r="G38" s="291"/>
    </row>
    <row r="39" spans="1:11" x14ac:dyDescent="0.2">
      <c r="B39" s="298"/>
      <c r="G39" s="291"/>
    </row>
    <row r="40" spans="1:11" x14ac:dyDescent="0.2">
      <c r="G40" s="291"/>
    </row>
    <row r="41" spans="1:11" x14ac:dyDescent="0.2">
      <c r="B41" s="298"/>
      <c r="G41" s="291"/>
    </row>
    <row r="42" spans="1:11" x14ac:dyDescent="0.2">
      <c r="B42" s="297"/>
      <c r="G42" s="291"/>
    </row>
    <row r="43" spans="1:11" x14ac:dyDescent="0.2">
      <c r="B43" s="297"/>
      <c r="G43" s="291"/>
    </row>
    <row r="44" spans="1:11" x14ac:dyDescent="0.2">
      <c r="B44" s="298"/>
      <c r="G44" s="291"/>
    </row>
    <row r="45" spans="1:11" x14ac:dyDescent="0.2">
      <c r="B45" s="298"/>
      <c r="G45" s="291"/>
    </row>
    <row r="46" spans="1:11" x14ac:dyDescent="0.2">
      <c r="G46" s="291"/>
    </row>
    <row r="47" spans="1:11" x14ac:dyDescent="0.2">
      <c r="B47" s="298"/>
      <c r="G47" s="291"/>
    </row>
    <row r="48" spans="1:11" x14ac:dyDescent="0.2">
      <c r="G48" s="291"/>
    </row>
    <row r="49" spans="2:7" x14ac:dyDescent="0.2">
      <c r="B49" s="298"/>
      <c r="G49" s="291"/>
    </row>
    <row r="50" spans="2:7" x14ac:dyDescent="0.2">
      <c r="B50" s="297"/>
      <c r="G50" s="291"/>
    </row>
    <row r="51" spans="2:7" x14ac:dyDescent="0.2">
      <c r="B51" s="297"/>
      <c r="G51" s="291"/>
    </row>
    <row r="52" spans="2:7" x14ac:dyDescent="0.2">
      <c r="B52" s="298"/>
      <c r="G52" s="291"/>
    </row>
    <row r="53" spans="2:7" x14ac:dyDescent="0.2">
      <c r="B53" s="298"/>
      <c r="G53" s="291"/>
    </row>
    <row r="54" spans="2:7" x14ac:dyDescent="0.2">
      <c r="G54" s="291"/>
    </row>
    <row r="55" spans="2:7" x14ac:dyDescent="0.2">
      <c r="B55" s="298"/>
      <c r="G55" s="291"/>
    </row>
    <row r="56" spans="2:7" x14ac:dyDescent="0.2">
      <c r="G56" s="291"/>
    </row>
    <row r="57" spans="2:7" x14ac:dyDescent="0.2">
      <c r="B57" s="298"/>
      <c r="G57" s="291"/>
    </row>
    <row r="58" spans="2:7" x14ac:dyDescent="0.2">
      <c r="B58" s="297"/>
      <c r="G58" s="291"/>
    </row>
    <row r="59" spans="2:7" x14ac:dyDescent="0.2">
      <c r="B59" s="297"/>
      <c r="G59" s="291"/>
    </row>
    <row r="60" spans="2:7" x14ac:dyDescent="0.2">
      <c r="B60" s="298"/>
      <c r="G60" s="291"/>
    </row>
    <row r="61" spans="2:7" x14ac:dyDescent="0.2">
      <c r="B61" s="298"/>
      <c r="G61" s="291"/>
    </row>
    <row r="62" spans="2:7" x14ac:dyDescent="0.2">
      <c r="G62" s="291"/>
    </row>
    <row r="63" spans="2:7" x14ac:dyDescent="0.2">
      <c r="B63" s="298"/>
      <c r="G63" s="291"/>
    </row>
    <row r="64" spans="2:7" x14ac:dyDescent="0.2">
      <c r="G64" s="291"/>
    </row>
    <row r="65" spans="2:7" x14ac:dyDescent="0.2">
      <c r="B65" s="298"/>
      <c r="G65" s="291"/>
    </row>
    <row r="66" spans="2:7" x14ac:dyDescent="0.2">
      <c r="B66" s="297"/>
      <c r="G66" s="291"/>
    </row>
    <row r="67" spans="2:7" x14ac:dyDescent="0.2">
      <c r="B67" s="297"/>
      <c r="G67" s="291"/>
    </row>
    <row r="68" spans="2:7" x14ac:dyDescent="0.2">
      <c r="B68" s="298"/>
      <c r="G68" s="291"/>
    </row>
    <row r="69" spans="2:7" x14ac:dyDescent="0.2">
      <c r="B69" s="298"/>
      <c r="G69" s="291"/>
    </row>
    <row r="70" spans="2:7" x14ac:dyDescent="0.2">
      <c r="G70" s="291"/>
    </row>
    <row r="71" spans="2:7" x14ac:dyDescent="0.2">
      <c r="B71" s="298"/>
      <c r="G71" s="291"/>
    </row>
    <row r="72" spans="2:7" x14ac:dyDescent="0.2">
      <c r="G72" s="291"/>
    </row>
    <row r="73" spans="2:7" x14ac:dyDescent="0.2">
      <c r="B73" s="298"/>
      <c r="G73" s="291"/>
    </row>
  </sheetData>
  <autoFilter ref="A1:K1"/>
  <phoneticPr fontId="14" type="noConversion"/>
  <pageMargins left="0.7" right="0.7" top="0.75" bottom="0.75" header="0.3" footer="0.3"/>
  <pageSetup paperSize="8" fitToWidth="0" fitToHeight="0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D60AE6"/>
  </sheetPr>
  <dimension ref="A1:K7"/>
  <sheetViews>
    <sheetView tabSelected="1" workbookViewId="0">
      <selection activeCell="L19" sqref="L19"/>
    </sheetView>
  </sheetViews>
  <sheetFormatPr defaultRowHeight="12.75" x14ac:dyDescent="0.2"/>
  <cols>
    <col min="1" max="1" width="9.140625" style="302"/>
    <col min="2" max="2" width="14.140625" style="110" customWidth="1"/>
    <col min="3" max="3" width="11.7109375" style="302" customWidth="1"/>
    <col min="4" max="4" width="13.5703125" style="333" bestFit="1" customWidth="1"/>
    <col min="5" max="5" width="9.140625" style="333"/>
    <col min="6" max="6" width="12.28515625" customWidth="1"/>
    <col min="8" max="8" width="12.28515625" customWidth="1"/>
    <col min="9" max="9" width="14.28515625" customWidth="1"/>
    <col min="10" max="10" width="12.7109375" customWidth="1"/>
    <col min="11" max="11" width="14.7109375" customWidth="1"/>
  </cols>
  <sheetData>
    <row r="1" spans="1:11" ht="27" customHeight="1" thickTop="1" x14ac:dyDescent="0.2">
      <c r="A1" s="338" t="s">
        <v>440</v>
      </c>
      <c r="B1" s="339" t="s">
        <v>452</v>
      </c>
      <c r="C1" s="338" t="s">
        <v>453</v>
      </c>
      <c r="D1" s="340" t="s">
        <v>454</v>
      </c>
      <c r="E1" s="341" t="s">
        <v>455</v>
      </c>
      <c r="F1" s="342" t="s">
        <v>456</v>
      </c>
      <c r="G1" s="343" t="s">
        <v>457</v>
      </c>
      <c r="H1" s="342" t="s">
        <v>458</v>
      </c>
      <c r="I1" s="342" t="s">
        <v>459</v>
      </c>
      <c r="J1" s="342" t="s">
        <v>460</v>
      </c>
      <c r="K1" s="342" t="s">
        <v>461</v>
      </c>
    </row>
    <row r="2" spans="1:11" x14ac:dyDescent="0.2">
      <c r="A2" s="302">
        <v>600</v>
      </c>
      <c r="B2" s="110" t="s">
        <v>439</v>
      </c>
      <c r="C2" s="302">
        <v>50.5</v>
      </c>
      <c r="D2" s="333">
        <v>84</v>
      </c>
      <c r="E2" s="333">
        <v>30.4</v>
      </c>
      <c r="F2">
        <v>1530</v>
      </c>
      <c r="G2" s="291">
        <v>6.7000000000000002E-3</v>
      </c>
      <c r="H2">
        <v>1.18</v>
      </c>
      <c r="I2">
        <v>7.72</v>
      </c>
      <c r="J2">
        <v>5.9</v>
      </c>
      <c r="K2">
        <v>4.95</v>
      </c>
    </row>
    <row r="3" spans="1:11" x14ac:dyDescent="0.2">
      <c r="A3" s="302">
        <v>650</v>
      </c>
      <c r="B3" s="110" t="s">
        <v>462</v>
      </c>
      <c r="C3" s="302">
        <v>50.5</v>
      </c>
      <c r="D3" s="333">
        <v>78</v>
      </c>
      <c r="E3" s="333">
        <v>30.4</v>
      </c>
      <c r="F3">
        <v>1680</v>
      </c>
      <c r="G3" s="291">
        <v>6.6E-3</v>
      </c>
      <c r="H3">
        <v>1.3800000000000001</v>
      </c>
      <c r="I3">
        <v>8.25</v>
      </c>
      <c r="J3">
        <v>5.37</v>
      </c>
      <c r="K3">
        <v>4.51</v>
      </c>
    </row>
    <row r="4" spans="1:11" x14ac:dyDescent="0.2">
      <c r="A4" s="302">
        <v>650</v>
      </c>
      <c r="B4" s="110" t="s">
        <v>451</v>
      </c>
      <c r="C4" s="302">
        <v>55</v>
      </c>
      <c r="D4" s="333">
        <v>85</v>
      </c>
      <c r="E4" s="333">
        <v>34.9</v>
      </c>
      <c r="F4">
        <v>1930</v>
      </c>
      <c r="G4" s="291">
        <v>6.6E-3</v>
      </c>
      <c r="H4">
        <v>1.55</v>
      </c>
      <c r="I4">
        <v>8.0500000000000007</v>
      </c>
      <c r="J4">
        <v>4.68</v>
      </c>
      <c r="K4">
        <v>3.92</v>
      </c>
    </row>
    <row r="5" spans="1:11" x14ac:dyDescent="0.2">
      <c r="A5" s="302">
        <v>750</v>
      </c>
      <c r="B5" s="110" t="s">
        <v>463</v>
      </c>
      <c r="C5" s="302">
        <v>65</v>
      </c>
      <c r="D5" s="333">
        <v>87</v>
      </c>
      <c r="E5" s="333">
        <v>44.9</v>
      </c>
      <c r="F5">
        <v>2930</v>
      </c>
      <c r="G5" s="291">
        <v>6.7000000000000002E-3</v>
      </c>
      <c r="H5">
        <v>2.5300000000000002</v>
      </c>
      <c r="I5">
        <v>8.66</v>
      </c>
      <c r="J5">
        <v>3.08</v>
      </c>
      <c r="K5">
        <v>2.58</v>
      </c>
    </row>
    <row r="6" spans="1:11" x14ac:dyDescent="0.2">
      <c r="A6" s="302">
        <v>800</v>
      </c>
      <c r="B6" s="110" t="s">
        <v>464</v>
      </c>
      <c r="C6" s="302">
        <v>71.5</v>
      </c>
      <c r="D6" s="333">
        <v>89</v>
      </c>
      <c r="E6" s="333">
        <v>51.400000000000006</v>
      </c>
      <c r="F6">
        <v>3500</v>
      </c>
      <c r="G6" s="291">
        <v>6.6E-3</v>
      </c>
      <c r="H6">
        <v>3.22</v>
      </c>
      <c r="I6">
        <v>9.2200000000000006</v>
      </c>
      <c r="J6">
        <v>2.58</v>
      </c>
      <c r="K6">
        <v>2.16</v>
      </c>
    </row>
    <row r="7" spans="1:11" x14ac:dyDescent="0.2">
      <c r="G7" s="291"/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autoFill="0" autoPict="0" macro="[0]!PPTOutPutComp">
                <anchor moveWithCells="1" sizeWithCells="1">
                  <from>
                    <xdr:col>11</xdr:col>
                    <xdr:colOff>104775</xdr:colOff>
                    <xdr:row>1</xdr:row>
                    <xdr:rowOff>133350</xdr:rowOff>
                  </from>
                  <to>
                    <xdr:col>12</xdr:col>
                    <xdr:colOff>438150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autoFill="0" autoPict="0" macro="[0]!PPTOutPut">
                <anchor moveWithCells="1" sizeWithCells="1">
                  <from>
                    <xdr:col>11</xdr:col>
                    <xdr:colOff>104775</xdr:colOff>
                    <xdr:row>4</xdr:row>
                    <xdr:rowOff>85725</xdr:rowOff>
                  </from>
                  <to>
                    <xdr:col>12</xdr:col>
                    <xdr:colOff>438150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7"/>
  <sheetViews>
    <sheetView view="pageBreakPreview" topLeftCell="A19" zoomScaleNormal="100" zoomScaleSheetLayoutView="100" workbookViewId="0">
      <selection activeCell="L51" sqref="L51"/>
    </sheetView>
  </sheetViews>
  <sheetFormatPr defaultColWidth="5.140625" defaultRowHeight="12.75" x14ac:dyDescent="0.2"/>
  <cols>
    <col min="1" max="2" width="4.7109375" style="64" customWidth="1"/>
    <col min="3" max="3" width="12.28515625" style="64" customWidth="1"/>
    <col min="4" max="5" width="5.7109375" style="64" customWidth="1"/>
    <col min="6" max="6" width="6.7109375" style="64" customWidth="1"/>
    <col min="7" max="7" width="5.7109375" style="64" customWidth="1"/>
    <col min="8" max="8" width="7.7109375" style="64" customWidth="1"/>
    <col min="9" max="9" width="4.7109375" style="64" customWidth="1"/>
    <col min="10" max="11" width="5.7109375" style="64" customWidth="1"/>
    <col min="12" max="12" width="7.7109375" style="64" customWidth="1"/>
    <col min="13" max="13" width="4.7109375" style="64" customWidth="1"/>
    <col min="14" max="17" width="5.7109375" style="64" customWidth="1"/>
    <col min="18" max="18" width="4.7109375" style="64" customWidth="1"/>
    <col min="19" max="19" width="7.28515625" style="64" customWidth="1"/>
    <col min="20" max="20" width="8.7109375" style="70" customWidth="1"/>
    <col min="21" max="22" width="8.7109375" style="349" customWidth="1"/>
    <col min="23" max="24" width="5.7109375" style="64" bestFit="1" customWidth="1"/>
    <col min="25" max="25" width="6.28515625" style="64" bestFit="1" customWidth="1"/>
    <col min="26" max="27" width="5.5703125" style="64" bestFit="1" customWidth="1"/>
    <col min="28" max="256" width="5.140625" style="64"/>
    <col min="257" max="258" width="4.7109375" style="64" customWidth="1"/>
    <col min="259" max="259" width="12.28515625" style="64" customWidth="1"/>
    <col min="260" max="261" width="5.7109375" style="64" customWidth="1"/>
    <col min="262" max="262" width="6.7109375" style="64" customWidth="1"/>
    <col min="263" max="263" width="5.7109375" style="64" customWidth="1"/>
    <col min="264" max="264" width="7.7109375" style="64" customWidth="1"/>
    <col min="265" max="265" width="4.7109375" style="64" customWidth="1"/>
    <col min="266" max="267" width="5.7109375" style="64" customWidth="1"/>
    <col min="268" max="268" width="7.7109375" style="64" customWidth="1"/>
    <col min="269" max="269" width="4.7109375" style="64" customWidth="1"/>
    <col min="270" max="273" width="5.7109375" style="64" customWidth="1"/>
    <col min="274" max="274" width="4.7109375" style="64" customWidth="1"/>
    <col min="275" max="275" width="7.28515625" style="64" customWidth="1"/>
    <col min="276" max="278" width="8.7109375" style="64" customWidth="1"/>
    <col min="279" max="280" width="5.7109375" style="64" bestFit="1" customWidth="1"/>
    <col min="281" max="281" width="6.28515625" style="64" bestFit="1" customWidth="1"/>
    <col min="282" max="283" width="5.5703125" style="64" bestFit="1" customWidth="1"/>
    <col min="284" max="512" width="5.140625" style="64"/>
    <col min="513" max="514" width="4.7109375" style="64" customWidth="1"/>
    <col min="515" max="515" width="12.28515625" style="64" customWidth="1"/>
    <col min="516" max="517" width="5.7109375" style="64" customWidth="1"/>
    <col min="518" max="518" width="6.7109375" style="64" customWidth="1"/>
    <col min="519" max="519" width="5.7109375" style="64" customWidth="1"/>
    <col min="520" max="520" width="7.7109375" style="64" customWidth="1"/>
    <col min="521" max="521" width="4.7109375" style="64" customWidth="1"/>
    <col min="522" max="523" width="5.7109375" style="64" customWidth="1"/>
    <col min="524" max="524" width="7.7109375" style="64" customWidth="1"/>
    <col min="525" max="525" width="4.7109375" style="64" customWidth="1"/>
    <col min="526" max="529" width="5.7109375" style="64" customWidth="1"/>
    <col min="530" max="530" width="4.7109375" style="64" customWidth="1"/>
    <col min="531" max="531" width="7.28515625" style="64" customWidth="1"/>
    <col min="532" max="534" width="8.7109375" style="64" customWidth="1"/>
    <col min="535" max="536" width="5.7109375" style="64" bestFit="1" customWidth="1"/>
    <col min="537" max="537" width="6.28515625" style="64" bestFit="1" customWidth="1"/>
    <col min="538" max="539" width="5.5703125" style="64" bestFit="1" customWidth="1"/>
    <col min="540" max="768" width="5.140625" style="64"/>
    <col min="769" max="770" width="4.7109375" style="64" customWidth="1"/>
    <col min="771" max="771" width="12.28515625" style="64" customWidth="1"/>
    <col min="772" max="773" width="5.7109375" style="64" customWidth="1"/>
    <col min="774" max="774" width="6.7109375" style="64" customWidth="1"/>
    <col min="775" max="775" width="5.7109375" style="64" customWidth="1"/>
    <col min="776" max="776" width="7.7109375" style="64" customWidth="1"/>
    <col min="777" max="777" width="4.7109375" style="64" customWidth="1"/>
    <col min="778" max="779" width="5.7109375" style="64" customWidth="1"/>
    <col min="780" max="780" width="7.7109375" style="64" customWidth="1"/>
    <col min="781" max="781" width="4.7109375" style="64" customWidth="1"/>
    <col min="782" max="785" width="5.7109375" style="64" customWidth="1"/>
    <col min="786" max="786" width="4.7109375" style="64" customWidth="1"/>
    <col min="787" max="787" width="7.28515625" style="64" customWidth="1"/>
    <col min="788" max="790" width="8.7109375" style="64" customWidth="1"/>
    <col min="791" max="792" width="5.7109375" style="64" bestFit="1" customWidth="1"/>
    <col min="793" max="793" width="6.28515625" style="64" bestFit="1" customWidth="1"/>
    <col min="794" max="795" width="5.5703125" style="64" bestFit="1" customWidth="1"/>
    <col min="796" max="1024" width="5.140625" style="64"/>
    <col min="1025" max="1026" width="4.7109375" style="64" customWidth="1"/>
    <col min="1027" max="1027" width="12.28515625" style="64" customWidth="1"/>
    <col min="1028" max="1029" width="5.7109375" style="64" customWidth="1"/>
    <col min="1030" max="1030" width="6.7109375" style="64" customWidth="1"/>
    <col min="1031" max="1031" width="5.7109375" style="64" customWidth="1"/>
    <col min="1032" max="1032" width="7.7109375" style="64" customWidth="1"/>
    <col min="1033" max="1033" width="4.7109375" style="64" customWidth="1"/>
    <col min="1034" max="1035" width="5.7109375" style="64" customWidth="1"/>
    <col min="1036" max="1036" width="7.7109375" style="64" customWidth="1"/>
    <col min="1037" max="1037" width="4.7109375" style="64" customWidth="1"/>
    <col min="1038" max="1041" width="5.7109375" style="64" customWidth="1"/>
    <col min="1042" max="1042" width="4.7109375" style="64" customWidth="1"/>
    <col min="1043" max="1043" width="7.28515625" style="64" customWidth="1"/>
    <col min="1044" max="1046" width="8.7109375" style="64" customWidth="1"/>
    <col min="1047" max="1048" width="5.7109375" style="64" bestFit="1" customWidth="1"/>
    <col min="1049" max="1049" width="6.28515625" style="64" bestFit="1" customWidth="1"/>
    <col min="1050" max="1051" width="5.5703125" style="64" bestFit="1" customWidth="1"/>
    <col min="1052" max="1280" width="5.140625" style="64"/>
    <col min="1281" max="1282" width="4.7109375" style="64" customWidth="1"/>
    <col min="1283" max="1283" width="12.28515625" style="64" customWidth="1"/>
    <col min="1284" max="1285" width="5.7109375" style="64" customWidth="1"/>
    <col min="1286" max="1286" width="6.7109375" style="64" customWidth="1"/>
    <col min="1287" max="1287" width="5.7109375" style="64" customWidth="1"/>
    <col min="1288" max="1288" width="7.7109375" style="64" customWidth="1"/>
    <col min="1289" max="1289" width="4.7109375" style="64" customWidth="1"/>
    <col min="1290" max="1291" width="5.7109375" style="64" customWidth="1"/>
    <col min="1292" max="1292" width="7.7109375" style="64" customWidth="1"/>
    <col min="1293" max="1293" width="4.7109375" style="64" customWidth="1"/>
    <col min="1294" max="1297" width="5.7109375" style="64" customWidth="1"/>
    <col min="1298" max="1298" width="4.7109375" style="64" customWidth="1"/>
    <col min="1299" max="1299" width="7.28515625" style="64" customWidth="1"/>
    <col min="1300" max="1302" width="8.7109375" style="64" customWidth="1"/>
    <col min="1303" max="1304" width="5.7109375" style="64" bestFit="1" customWidth="1"/>
    <col min="1305" max="1305" width="6.28515625" style="64" bestFit="1" customWidth="1"/>
    <col min="1306" max="1307" width="5.5703125" style="64" bestFit="1" customWidth="1"/>
    <col min="1308" max="1536" width="5.140625" style="64"/>
    <col min="1537" max="1538" width="4.7109375" style="64" customWidth="1"/>
    <col min="1539" max="1539" width="12.28515625" style="64" customWidth="1"/>
    <col min="1540" max="1541" width="5.7109375" style="64" customWidth="1"/>
    <col min="1542" max="1542" width="6.7109375" style="64" customWidth="1"/>
    <col min="1543" max="1543" width="5.7109375" style="64" customWidth="1"/>
    <col min="1544" max="1544" width="7.7109375" style="64" customWidth="1"/>
    <col min="1545" max="1545" width="4.7109375" style="64" customWidth="1"/>
    <col min="1546" max="1547" width="5.7109375" style="64" customWidth="1"/>
    <col min="1548" max="1548" width="7.7109375" style="64" customWidth="1"/>
    <col min="1549" max="1549" width="4.7109375" style="64" customWidth="1"/>
    <col min="1550" max="1553" width="5.7109375" style="64" customWidth="1"/>
    <col min="1554" max="1554" width="4.7109375" style="64" customWidth="1"/>
    <col min="1555" max="1555" width="7.28515625" style="64" customWidth="1"/>
    <col min="1556" max="1558" width="8.7109375" style="64" customWidth="1"/>
    <col min="1559" max="1560" width="5.7109375" style="64" bestFit="1" customWidth="1"/>
    <col min="1561" max="1561" width="6.28515625" style="64" bestFit="1" customWidth="1"/>
    <col min="1562" max="1563" width="5.5703125" style="64" bestFit="1" customWidth="1"/>
    <col min="1564" max="1792" width="5.140625" style="64"/>
    <col min="1793" max="1794" width="4.7109375" style="64" customWidth="1"/>
    <col min="1795" max="1795" width="12.28515625" style="64" customWidth="1"/>
    <col min="1796" max="1797" width="5.7109375" style="64" customWidth="1"/>
    <col min="1798" max="1798" width="6.7109375" style="64" customWidth="1"/>
    <col min="1799" max="1799" width="5.7109375" style="64" customWidth="1"/>
    <col min="1800" max="1800" width="7.7109375" style="64" customWidth="1"/>
    <col min="1801" max="1801" width="4.7109375" style="64" customWidth="1"/>
    <col min="1802" max="1803" width="5.7109375" style="64" customWidth="1"/>
    <col min="1804" max="1804" width="7.7109375" style="64" customWidth="1"/>
    <col min="1805" max="1805" width="4.7109375" style="64" customWidth="1"/>
    <col min="1806" max="1809" width="5.7109375" style="64" customWidth="1"/>
    <col min="1810" max="1810" width="4.7109375" style="64" customWidth="1"/>
    <col min="1811" max="1811" width="7.28515625" style="64" customWidth="1"/>
    <col min="1812" max="1814" width="8.7109375" style="64" customWidth="1"/>
    <col min="1815" max="1816" width="5.7109375" style="64" bestFit="1" customWidth="1"/>
    <col min="1817" max="1817" width="6.28515625" style="64" bestFit="1" customWidth="1"/>
    <col min="1818" max="1819" width="5.5703125" style="64" bestFit="1" customWidth="1"/>
    <col min="1820" max="2048" width="5.140625" style="64"/>
    <col min="2049" max="2050" width="4.7109375" style="64" customWidth="1"/>
    <col min="2051" max="2051" width="12.28515625" style="64" customWidth="1"/>
    <col min="2052" max="2053" width="5.7109375" style="64" customWidth="1"/>
    <col min="2054" max="2054" width="6.7109375" style="64" customWidth="1"/>
    <col min="2055" max="2055" width="5.7109375" style="64" customWidth="1"/>
    <col min="2056" max="2056" width="7.7109375" style="64" customWidth="1"/>
    <col min="2057" max="2057" width="4.7109375" style="64" customWidth="1"/>
    <col min="2058" max="2059" width="5.7109375" style="64" customWidth="1"/>
    <col min="2060" max="2060" width="7.7109375" style="64" customWidth="1"/>
    <col min="2061" max="2061" width="4.7109375" style="64" customWidth="1"/>
    <col min="2062" max="2065" width="5.7109375" style="64" customWidth="1"/>
    <col min="2066" max="2066" width="4.7109375" style="64" customWidth="1"/>
    <col min="2067" max="2067" width="7.28515625" style="64" customWidth="1"/>
    <col min="2068" max="2070" width="8.7109375" style="64" customWidth="1"/>
    <col min="2071" max="2072" width="5.7109375" style="64" bestFit="1" customWidth="1"/>
    <col min="2073" max="2073" width="6.28515625" style="64" bestFit="1" customWidth="1"/>
    <col min="2074" max="2075" width="5.5703125" style="64" bestFit="1" customWidth="1"/>
    <col min="2076" max="2304" width="5.140625" style="64"/>
    <col min="2305" max="2306" width="4.7109375" style="64" customWidth="1"/>
    <col min="2307" max="2307" width="12.28515625" style="64" customWidth="1"/>
    <col min="2308" max="2309" width="5.7109375" style="64" customWidth="1"/>
    <col min="2310" max="2310" width="6.7109375" style="64" customWidth="1"/>
    <col min="2311" max="2311" width="5.7109375" style="64" customWidth="1"/>
    <col min="2312" max="2312" width="7.7109375" style="64" customWidth="1"/>
    <col min="2313" max="2313" width="4.7109375" style="64" customWidth="1"/>
    <col min="2314" max="2315" width="5.7109375" style="64" customWidth="1"/>
    <col min="2316" max="2316" width="7.7109375" style="64" customWidth="1"/>
    <col min="2317" max="2317" width="4.7109375" style="64" customWidth="1"/>
    <col min="2318" max="2321" width="5.7109375" style="64" customWidth="1"/>
    <col min="2322" max="2322" width="4.7109375" style="64" customWidth="1"/>
    <col min="2323" max="2323" width="7.28515625" style="64" customWidth="1"/>
    <col min="2324" max="2326" width="8.7109375" style="64" customWidth="1"/>
    <col min="2327" max="2328" width="5.7109375" style="64" bestFit="1" customWidth="1"/>
    <col min="2329" max="2329" width="6.28515625" style="64" bestFit="1" customWidth="1"/>
    <col min="2330" max="2331" width="5.5703125" style="64" bestFit="1" customWidth="1"/>
    <col min="2332" max="2560" width="5.140625" style="64"/>
    <col min="2561" max="2562" width="4.7109375" style="64" customWidth="1"/>
    <col min="2563" max="2563" width="12.28515625" style="64" customWidth="1"/>
    <col min="2564" max="2565" width="5.7109375" style="64" customWidth="1"/>
    <col min="2566" max="2566" width="6.7109375" style="64" customWidth="1"/>
    <col min="2567" max="2567" width="5.7109375" style="64" customWidth="1"/>
    <col min="2568" max="2568" width="7.7109375" style="64" customWidth="1"/>
    <col min="2569" max="2569" width="4.7109375" style="64" customWidth="1"/>
    <col min="2570" max="2571" width="5.7109375" style="64" customWidth="1"/>
    <col min="2572" max="2572" width="7.7109375" style="64" customWidth="1"/>
    <col min="2573" max="2573" width="4.7109375" style="64" customWidth="1"/>
    <col min="2574" max="2577" width="5.7109375" style="64" customWidth="1"/>
    <col min="2578" max="2578" width="4.7109375" style="64" customWidth="1"/>
    <col min="2579" max="2579" width="7.28515625" style="64" customWidth="1"/>
    <col min="2580" max="2582" width="8.7109375" style="64" customWidth="1"/>
    <col min="2583" max="2584" width="5.7109375" style="64" bestFit="1" customWidth="1"/>
    <col min="2585" max="2585" width="6.28515625" style="64" bestFit="1" customWidth="1"/>
    <col min="2586" max="2587" width="5.5703125" style="64" bestFit="1" customWidth="1"/>
    <col min="2588" max="2816" width="5.140625" style="64"/>
    <col min="2817" max="2818" width="4.7109375" style="64" customWidth="1"/>
    <col min="2819" max="2819" width="12.28515625" style="64" customWidth="1"/>
    <col min="2820" max="2821" width="5.7109375" style="64" customWidth="1"/>
    <col min="2822" max="2822" width="6.7109375" style="64" customWidth="1"/>
    <col min="2823" max="2823" width="5.7109375" style="64" customWidth="1"/>
    <col min="2824" max="2824" width="7.7109375" style="64" customWidth="1"/>
    <col min="2825" max="2825" width="4.7109375" style="64" customWidth="1"/>
    <col min="2826" max="2827" width="5.7109375" style="64" customWidth="1"/>
    <col min="2828" max="2828" width="7.7109375" style="64" customWidth="1"/>
    <col min="2829" max="2829" width="4.7109375" style="64" customWidth="1"/>
    <col min="2830" max="2833" width="5.7109375" style="64" customWidth="1"/>
    <col min="2834" max="2834" width="4.7109375" style="64" customWidth="1"/>
    <col min="2835" max="2835" width="7.28515625" style="64" customWidth="1"/>
    <col min="2836" max="2838" width="8.7109375" style="64" customWidth="1"/>
    <col min="2839" max="2840" width="5.7109375" style="64" bestFit="1" customWidth="1"/>
    <col min="2841" max="2841" width="6.28515625" style="64" bestFit="1" customWidth="1"/>
    <col min="2842" max="2843" width="5.5703125" style="64" bestFit="1" customWidth="1"/>
    <col min="2844" max="3072" width="5.140625" style="64"/>
    <col min="3073" max="3074" width="4.7109375" style="64" customWidth="1"/>
    <col min="3075" max="3075" width="12.28515625" style="64" customWidth="1"/>
    <col min="3076" max="3077" width="5.7109375" style="64" customWidth="1"/>
    <col min="3078" max="3078" width="6.7109375" style="64" customWidth="1"/>
    <col min="3079" max="3079" width="5.7109375" style="64" customWidth="1"/>
    <col min="3080" max="3080" width="7.7109375" style="64" customWidth="1"/>
    <col min="3081" max="3081" width="4.7109375" style="64" customWidth="1"/>
    <col min="3082" max="3083" width="5.7109375" style="64" customWidth="1"/>
    <col min="3084" max="3084" width="7.7109375" style="64" customWidth="1"/>
    <col min="3085" max="3085" width="4.7109375" style="64" customWidth="1"/>
    <col min="3086" max="3089" width="5.7109375" style="64" customWidth="1"/>
    <col min="3090" max="3090" width="4.7109375" style="64" customWidth="1"/>
    <col min="3091" max="3091" width="7.28515625" style="64" customWidth="1"/>
    <col min="3092" max="3094" width="8.7109375" style="64" customWidth="1"/>
    <col min="3095" max="3096" width="5.7109375" style="64" bestFit="1" customWidth="1"/>
    <col min="3097" max="3097" width="6.28515625" style="64" bestFit="1" customWidth="1"/>
    <col min="3098" max="3099" width="5.5703125" style="64" bestFit="1" customWidth="1"/>
    <col min="3100" max="3328" width="5.140625" style="64"/>
    <col min="3329" max="3330" width="4.7109375" style="64" customWidth="1"/>
    <col min="3331" max="3331" width="12.28515625" style="64" customWidth="1"/>
    <col min="3332" max="3333" width="5.7109375" style="64" customWidth="1"/>
    <col min="3334" max="3334" width="6.7109375" style="64" customWidth="1"/>
    <col min="3335" max="3335" width="5.7109375" style="64" customWidth="1"/>
    <col min="3336" max="3336" width="7.7109375" style="64" customWidth="1"/>
    <col min="3337" max="3337" width="4.7109375" style="64" customWidth="1"/>
    <col min="3338" max="3339" width="5.7109375" style="64" customWidth="1"/>
    <col min="3340" max="3340" width="7.7109375" style="64" customWidth="1"/>
    <col min="3341" max="3341" width="4.7109375" style="64" customWidth="1"/>
    <col min="3342" max="3345" width="5.7109375" style="64" customWidth="1"/>
    <col min="3346" max="3346" width="4.7109375" style="64" customWidth="1"/>
    <col min="3347" max="3347" width="7.28515625" style="64" customWidth="1"/>
    <col min="3348" max="3350" width="8.7109375" style="64" customWidth="1"/>
    <col min="3351" max="3352" width="5.7109375" style="64" bestFit="1" customWidth="1"/>
    <col min="3353" max="3353" width="6.28515625" style="64" bestFit="1" customWidth="1"/>
    <col min="3354" max="3355" width="5.5703125" style="64" bestFit="1" customWidth="1"/>
    <col min="3356" max="3584" width="5.140625" style="64"/>
    <col min="3585" max="3586" width="4.7109375" style="64" customWidth="1"/>
    <col min="3587" max="3587" width="12.28515625" style="64" customWidth="1"/>
    <col min="3588" max="3589" width="5.7109375" style="64" customWidth="1"/>
    <col min="3590" max="3590" width="6.7109375" style="64" customWidth="1"/>
    <col min="3591" max="3591" width="5.7109375" style="64" customWidth="1"/>
    <col min="3592" max="3592" width="7.7109375" style="64" customWidth="1"/>
    <col min="3593" max="3593" width="4.7109375" style="64" customWidth="1"/>
    <col min="3594" max="3595" width="5.7109375" style="64" customWidth="1"/>
    <col min="3596" max="3596" width="7.7109375" style="64" customWidth="1"/>
    <col min="3597" max="3597" width="4.7109375" style="64" customWidth="1"/>
    <col min="3598" max="3601" width="5.7109375" style="64" customWidth="1"/>
    <col min="3602" max="3602" width="4.7109375" style="64" customWidth="1"/>
    <col min="3603" max="3603" width="7.28515625" style="64" customWidth="1"/>
    <col min="3604" max="3606" width="8.7109375" style="64" customWidth="1"/>
    <col min="3607" max="3608" width="5.7109375" style="64" bestFit="1" customWidth="1"/>
    <col min="3609" max="3609" width="6.28515625" style="64" bestFit="1" customWidth="1"/>
    <col min="3610" max="3611" width="5.5703125" style="64" bestFit="1" customWidth="1"/>
    <col min="3612" max="3840" width="5.140625" style="64"/>
    <col min="3841" max="3842" width="4.7109375" style="64" customWidth="1"/>
    <col min="3843" max="3843" width="12.28515625" style="64" customWidth="1"/>
    <col min="3844" max="3845" width="5.7109375" style="64" customWidth="1"/>
    <col min="3846" max="3846" width="6.7109375" style="64" customWidth="1"/>
    <col min="3847" max="3847" width="5.7109375" style="64" customWidth="1"/>
    <col min="3848" max="3848" width="7.7109375" style="64" customWidth="1"/>
    <col min="3849" max="3849" width="4.7109375" style="64" customWidth="1"/>
    <col min="3850" max="3851" width="5.7109375" style="64" customWidth="1"/>
    <col min="3852" max="3852" width="7.7109375" style="64" customWidth="1"/>
    <col min="3853" max="3853" width="4.7109375" style="64" customWidth="1"/>
    <col min="3854" max="3857" width="5.7109375" style="64" customWidth="1"/>
    <col min="3858" max="3858" width="4.7109375" style="64" customWidth="1"/>
    <col min="3859" max="3859" width="7.28515625" style="64" customWidth="1"/>
    <col min="3860" max="3862" width="8.7109375" style="64" customWidth="1"/>
    <col min="3863" max="3864" width="5.7109375" style="64" bestFit="1" customWidth="1"/>
    <col min="3865" max="3865" width="6.28515625" style="64" bestFit="1" customWidth="1"/>
    <col min="3866" max="3867" width="5.5703125" style="64" bestFit="1" customWidth="1"/>
    <col min="3868" max="4096" width="5.140625" style="64"/>
    <col min="4097" max="4098" width="4.7109375" style="64" customWidth="1"/>
    <col min="4099" max="4099" width="12.28515625" style="64" customWidth="1"/>
    <col min="4100" max="4101" width="5.7109375" style="64" customWidth="1"/>
    <col min="4102" max="4102" width="6.7109375" style="64" customWidth="1"/>
    <col min="4103" max="4103" width="5.7109375" style="64" customWidth="1"/>
    <col min="4104" max="4104" width="7.7109375" style="64" customWidth="1"/>
    <col min="4105" max="4105" width="4.7109375" style="64" customWidth="1"/>
    <col min="4106" max="4107" width="5.7109375" style="64" customWidth="1"/>
    <col min="4108" max="4108" width="7.7109375" style="64" customWidth="1"/>
    <col min="4109" max="4109" width="4.7109375" style="64" customWidth="1"/>
    <col min="4110" max="4113" width="5.7109375" style="64" customWidth="1"/>
    <col min="4114" max="4114" width="4.7109375" style="64" customWidth="1"/>
    <col min="4115" max="4115" width="7.28515625" style="64" customWidth="1"/>
    <col min="4116" max="4118" width="8.7109375" style="64" customWidth="1"/>
    <col min="4119" max="4120" width="5.7109375" style="64" bestFit="1" customWidth="1"/>
    <col min="4121" max="4121" width="6.28515625" style="64" bestFit="1" customWidth="1"/>
    <col min="4122" max="4123" width="5.5703125" style="64" bestFit="1" customWidth="1"/>
    <col min="4124" max="4352" width="5.140625" style="64"/>
    <col min="4353" max="4354" width="4.7109375" style="64" customWidth="1"/>
    <col min="4355" max="4355" width="12.28515625" style="64" customWidth="1"/>
    <col min="4356" max="4357" width="5.7109375" style="64" customWidth="1"/>
    <col min="4358" max="4358" width="6.7109375" style="64" customWidth="1"/>
    <col min="4359" max="4359" width="5.7109375" style="64" customWidth="1"/>
    <col min="4360" max="4360" width="7.7109375" style="64" customWidth="1"/>
    <col min="4361" max="4361" width="4.7109375" style="64" customWidth="1"/>
    <col min="4362" max="4363" width="5.7109375" style="64" customWidth="1"/>
    <col min="4364" max="4364" width="7.7109375" style="64" customWidth="1"/>
    <col min="4365" max="4365" width="4.7109375" style="64" customWidth="1"/>
    <col min="4366" max="4369" width="5.7109375" style="64" customWidth="1"/>
    <col min="4370" max="4370" width="4.7109375" style="64" customWidth="1"/>
    <col min="4371" max="4371" width="7.28515625" style="64" customWidth="1"/>
    <col min="4372" max="4374" width="8.7109375" style="64" customWidth="1"/>
    <col min="4375" max="4376" width="5.7109375" style="64" bestFit="1" customWidth="1"/>
    <col min="4377" max="4377" width="6.28515625" style="64" bestFit="1" customWidth="1"/>
    <col min="4378" max="4379" width="5.5703125" style="64" bestFit="1" customWidth="1"/>
    <col min="4380" max="4608" width="5.140625" style="64"/>
    <col min="4609" max="4610" width="4.7109375" style="64" customWidth="1"/>
    <col min="4611" max="4611" width="12.28515625" style="64" customWidth="1"/>
    <col min="4612" max="4613" width="5.7109375" style="64" customWidth="1"/>
    <col min="4614" max="4614" width="6.7109375" style="64" customWidth="1"/>
    <col min="4615" max="4615" width="5.7109375" style="64" customWidth="1"/>
    <col min="4616" max="4616" width="7.7109375" style="64" customWidth="1"/>
    <col min="4617" max="4617" width="4.7109375" style="64" customWidth="1"/>
    <col min="4618" max="4619" width="5.7109375" style="64" customWidth="1"/>
    <col min="4620" max="4620" width="7.7109375" style="64" customWidth="1"/>
    <col min="4621" max="4621" width="4.7109375" style="64" customWidth="1"/>
    <col min="4622" max="4625" width="5.7109375" style="64" customWidth="1"/>
    <col min="4626" max="4626" width="4.7109375" style="64" customWidth="1"/>
    <col min="4627" max="4627" width="7.28515625" style="64" customWidth="1"/>
    <col min="4628" max="4630" width="8.7109375" style="64" customWidth="1"/>
    <col min="4631" max="4632" width="5.7109375" style="64" bestFit="1" customWidth="1"/>
    <col min="4633" max="4633" width="6.28515625" style="64" bestFit="1" customWidth="1"/>
    <col min="4634" max="4635" width="5.5703125" style="64" bestFit="1" customWidth="1"/>
    <col min="4636" max="4864" width="5.140625" style="64"/>
    <col min="4865" max="4866" width="4.7109375" style="64" customWidth="1"/>
    <col min="4867" max="4867" width="12.28515625" style="64" customWidth="1"/>
    <col min="4868" max="4869" width="5.7109375" style="64" customWidth="1"/>
    <col min="4870" max="4870" width="6.7109375" style="64" customWidth="1"/>
    <col min="4871" max="4871" width="5.7109375" style="64" customWidth="1"/>
    <col min="4872" max="4872" width="7.7109375" style="64" customWidth="1"/>
    <col min="4873" max="4873" width="4.7109375" style="64" customWidth="1"/>
    <col min="4874" max="4875" width="5.7109375" style="64" customWidth="1"/>
    <col min="4876" max="4876" width="7.7109375" style="64" customWidth="1"/>
    <col min="4877" max="4877" width="4.7109375" style="64" customWidth="1"/>
    <col min="4878" max="4881" width="5.7109375" style="64" customWidth="1"/>
    <col min="4882" max="4882" width="4.7109375" style="64" customWidth="1"/>
    <col min="4883" max="4883" width="7.28515625" style="64" customWidth="1"/>
    <col min="4884" max="4886" width="8.7109375" style="64" customWidth="1"/>
    <col min="4887" max="4888" width="5.7109375" style="64" bestFit="1" customWidth="1"/>
    <col min="4889" max="4889" width="6.28515625" style="64" bestFit="1" customWidth="1"/>
    <col min="4890" max="4891" width="5.5703125" style="64" bestFit="1" customWidth="1"/>
    <col min="4892" max="5120" width="5.140625" style="64"/>
    <col min="5121" max="5122" width="4.7109375" style="64" customWidth="1"/>
    <col min="5123" max="5123" width="12.28515625" style="64" customWidth="1"/>
    <col min="5124" max="5125" width="5.7109375" style="64" customWidth="1"/>
    <col min="5126" max="5126" width="6.7109375" style="64" customWidth="1"/>
    <col min="5127" max="5127" width="5.7109375" style="64" customWidth="1"/>
    <col min="5128" max="5128" width="7.7109375" style="64" customWidth="1"/>
    <col min="5129" max="5129" width="4.7109375" style="64" customWidth="1"/>
    <col min="5130" max="5131" width="5.7109375" style="64" customWidth="1"/>
    <col min="5132" max="5132" width="7.7109375" style="64" customWidth="1"/>
    <col min="5133" max="5133" width="4.7109375" style="64" customWidth="1"/>
    <col min="5134" max="5137" width="5.7109375" style="64" customWidth="1"/>
    <col min="5138" max="5138" width="4.7109375" style="64" customWidth="1"/>
    <col min="5139" max="5139" width="7.28515625" style="64" customWidth="1"/>
    <col min="5140" max="5142" width="8.7109375" style="64" customWidth="1"/>
    <col min="5143" max="5144" width="5.7109375" style="64" bestFit="1" customWidth="1"/>
    <col min="5145" max="5145" width="6.28515625" style="64" bestFit="1" customWidth="1"/>
    <col min="5146" max="5147" width="5.5703125" style="64" bestFit="1" customWidth="1"/>
    <col min="5148" max="5376" width="5.140625" style="64"/>
    <col min="5377" max="5378" width="4.7109375" style="64" customWidth="1"/>
    <col min="5379" max="5379" width="12.28515625" style="64" customWidth="1"/>
    <col min="5380" max="5381" width="5.7109375" style="64" customWidth="1"/>
    <col min="5382" max="5382" width="6.7109375" style="64" customWidth="1"/>
    <col min="5383" max="5383" width="5.7109375" style="64" customWidth="1"/>
    <col min="5384" max="5384" width="7.7109375" style="64" customWidth="1"/>
    <col min="5385" max="5385" width="4.7109375" style="64" customWidth="1"/>
    <col min="5386" max="5387" width="5.7109375" style="64" customWidth="1"/>
    <col min="5388" max="5388" width="7.7109375" style="64" customWidth="1"/>
    <col min="5389" max="5389" width="4.7109375" style="64" customWidth="1"/>
    <col min="5390" max="5393" width="5.7109375" style="64" customWidth="1"/>
    <col min="5394" max="5394" width="4.7109375" style="64" customWidth="1"/>
    <col min="5395" max="5395" width="7.28515625" style="64" customWidth="1"/>
    <col min="5396" max="5398" width="8.7109375" style="64" customWidth="1"/>
    <col min="5399" max="5400" width="5.7109375" style="64" bestFit="1" customWidth="1"/>
    <col min="5401" max="5401" width="6.28515625" style="64" bestFit="1" customWidth="1"/>
    <col min="5402" max="5403" width="5.5703125" style="64" bestFit="1" customWidth="1"/>
    <col min="5404" max="5632" width="5.140625" style="64"/>
    <col min="5633" max="5634" width="4.7109375" style="64" customWidth="1"/>
    <col min="5635" max="5635" width="12.28515625" style="64" customWidth="1"/>
    <col min="5636" max="5637" width="5.7109375" style="64" customWidth="1"/>
    <col min="5638" max="5638" width="6.7109375" style="64" customWidth="1"/>
    <col min="5639" max="5639" width="5.7109375" style="64" customWidth="1"/>
    <col min="5640" max="5640" width="7.7109375" style="64" customWidth="1"/>
    <col min="5641" max="5641" width="4.7109375" style="64" customWidth="1"/>
    <col min="5642" max="5643" width="5.7109375" style="64" customWidth="1"/>
    <col min="5644" max="5644" width="7.7109375" style="64" customWidth="1"/>
    <col min="5645" max="5645" width="4.7109375" style="64" customWidth="1"/>
    <col min="5646" max="5649" width="5.7109375" style="64" customWidth="1"/>
    <col min="5650" max="5650" width="4.7109375" style="64" customWidth="1"/>
    <col min="5651" max="5651" width="7.28515625" style="64" customWidth="1"/>
    <col min="5652" max="5654" width="8.7109375" style="64" customWidth="1"/>
    <col min="5655" max="5656" width="5.7109375" style="64" bestFit="1" customWidth="1"/>
    <col min="5657" max="5657" width="6.28515625" style="64" bestFit="1" customWidth="1"/>
    <col min="5658" max="5659" width="5.5703125" style="64" bestFit="1" customWidth="1"/>
    <col min="5660" max="5888" width="5.140625" style="64"/>
    <col min="5889" max="5890" width="4.7109375" style="64" customWidth="1"/>
    <col min="5891" max="5891" width="12.28515625" style="64" customWidth="1"/>
    <col min="5892" max="5893" width="5.7109375" style="64" customWidth="1"/>
    <col min="5894" max="5894" width="6.7109375" style="64" customWidth="1"/>
    <col min="5895" max="5895" width="5.7109375" style="64" customWidth="1"/>
    <col min="5896" max="5896" width="7.7109375" style="64" customWidth="1"/>
    <col min="5897" max="5897" width="4.7109375" style="64" customWidth="1"/>
    <col min="5898" max="5899" width="5.7109375" style="64" customWidth="1"/>
    <col min="5900" max="5900" width="7.7109375" style="64" customWidth="1"/>
    <col min="5901" max="5901" width="4.7109375" style="64" customWidth="1"/>
    <col min="5902" max="5905" width="5.7109375" style="64" customWidth="1"/>
    <col min="5906" max="5906" width="4.7109375" style="64" customWidth="1"/>
    <col min="5907" max="5907" width="7.28515625" style="64" customWidth="1"/>
    <col min="5908" max="5910" width="8.7109375" style="64" customWidth="1"/>
    <col min="5911" max="5912" width="5.7109375" style="64" bestFit="1" customWidth="1"/>
    <col min="5913" max="5913" width="6.28515625" style="64" bestFit="1" customWidth="1"/>
    <col min="5914" max="5915" width="5.5703125" style="64" bestFit="1" customWidth="1"/>
    <col min="5916" max="6144" width="5.140625" style="64"/>
    <col min="6145" max="6146" width="4.7109375" style="64" customWidth="1"/>
    <col min="6147" max="6147" width="12.28515625" style="64" customWidth="1"/>
    <col min="6148" max="6149" width="5.7109375" style="64" customWidth="1"/>
    <col min="6150" max="6150" width="6.7109375" style="64" customWidth="1"/>
    <col min="6151" max="6151" width="5.7109375" style="64" customWidth="1"/>
    <col min="6152" max="6152" width="7.7109375" style="64" customWidth="1"/>
    <col min="6153" max="6153" width="4.7109375" style="64" customWidth="1"/>
    <col min="6154" max="6155" width="5.7109375" style="64" customWidth="1"/>
    <col min="6156" max="6156" width="7.7109375" style="64" customWidth="1"/>
    <col min="6157" max="6157" width="4.7109375" style="64" customWidth="1"/>
    <col min="6158" max="6161" width="5.7109375" style="64" customWidth="1"/>
    <col min="6162" max="6162" width="4.7109375" style="64" customWidth="1"/>
    <col min="6163" max="6163" width="7.28515625" style="64" customWidth="1"/>
    <col min="6164" max="6166" width="8.7109375" style="64" customWidth="1"/>
    <col min="6167" max="6168" width="5.7109375" style="64" bestFit="1" customWidth="1"/>
    <col min="6169" max="6169" width="6.28515625" style="64" bestFit="1" customWidth="1"/>
    <col min="6170" max="6171" width="5.5703125" style="64" bestFit="1" customWidth="1"/>
    <col min="6172" max="6400" width="5.140625" style="64"/>
    <col min="6401" max="6402" width="4.7109375" style="64" customWidth="1"/>
    <col min="6403" max="6403" width="12.28515625" style="64" customWidth="1"/>
    <col min="6404" max="6405" width="5.7109375" style="64" customWidth="1"/>
    <col min="6406" max="6406" width="6.7109375" style="64" customWidth="1"/>
    <col min="6407" max="6407" width="5.7109375" style="64" customWidth="1"/>
    <col min="6408" max="6408" width="7.7109375" style="64" customWidth="1"/>
    <col min="6409" max="6409" width="4.7109375" style="64" customWidth="1"/>
    <col min="6410" max="6411" width="5.7109375" style="64" customWidth="1"/>
    <col min="6412" max="6412" width="7.7109375" style="64" customWidth="1"/>
    <col min="6413" max="6413" width="4.7109375" style="64" customWidth="1"/>
    <col min="6414" max="6417" width="5.7109375" style="64" customWidth="1"/>
    <col min="6418" max="6418" width="4.7109375" style="64" customWidth="1"/>
    <col min="6419" max="6419" width="7.28515625" style="64" customWidth="1"/>
    <col min="6420" max="6422" width="8.7109375" style="64" customWidth="1"/>
    <col min="6423" max="6424" width="5.7109375" style="64" bestFit="1" customWidth="1"/>
    <col min="6425" max="6425" width="6.28515625" style="64" bestFit="1" customWidth="1"/>
    <col min="6426" max="6427" width="5.5703125" style="64" bestFit="1" customWidth="1"/>
    <col min="6428" max="6656" width="5.140625" style="64"/>
    <col min="6657" max="6658" width="4.7109375" style="64" customWidth="1"/>
    <col min="6659" max="6659" width="12.28515625" style="64" customWidth="1"/>
    <col min="6660" max="6661" width="5.7109375" style="64" customWidth="1"/>
    <col min="6662" max="6662" width="6.7109375" style="64" customWidth="1"/>
    <col min="6663" max="6663" width="5.7109375" style="64" customWidth="1"/>
    <col min="6664" max="6664" width="7.7109375" style="64" customWidth="1"/>
    <col min="6665" max="6665" width="4.7109375" style="64" customWidth="1"/>
    <col min="6666" max="6667" width="5.7109375" style="64" customWidth="1"/>
    <col min="6668" max="6668" width="7.7109375" style="64" customWidth="1"/>
    <col min="6669" max="6669" width="4.7109375" style="64" customWidth="1"/>
    <col min="6670" max="6673" width="5.7109375" style="64" customWidth="1"/>
    <col min="6674" max="6674" width="4.7109375" style="64" customWidth="1"/>
    <col min="6675" max="6675" width="7.28515625" style="64" customWidth="1"/>
    <col min="6676" max="6678" width="8.7109375" style="64" customWidth="1"/>
    <col min="6679" max="6680" width="5.7109375" style="64" bestFit="1" customWidth="1"/>
    <col min="6681" max="6681" width="6.28515625" style="64" bestFit="1" customWidth="1"/>
    <col min="6682" max="6683" width="5.5703125" style="64" bestFit="1" customWidth="1"/>
    <col min="6684" max="6912" width="5.140625" style="64"/>
    <col min="6913" max="6914" width="4.7109375" style="64" customWidth="1"/>
    <col min="6915" max="6915" width="12.28515625" style="64" customWidth="1"/>
    <col min="6916" max="6917" width="5.7109375" style="64" customWidth="1"/>
    <col min="6918" max="6918" width="6.7109375" style="64" customWidth="1"/>
    <col min="6919" max="6919" width="5.7109375" style="64" customWidth="1"/>
    <col min="6920" max="6920" width="7.7109375" style="64" customWidth="1"/>
    <col min="6921" max="6921" width="4.7109375" style="64" customWidth="1"/>
    <col min="6922" max="6923" width="5.7109375" style="64" customWidth="1"/>
    <col min="6924" max="6924" width="7.7109375" style="64" customWidth="1"/>
    <col min="6925" max="6925" width="4.7109375" style="64" customWidth="1"/>
    <col min="6926" max="6929" width="5.7109375" style="64" customWidth="1"/>
    <col min="6930" max="6930" width="4.7109375" style="64" customWidth="1"/>
    <col min="6931" max="6931" width="7.28515625" style="64" customWidth="1"/>
    <col min="6932" max="6934" width="8.7109375" style="64" customWidth="1"/>
    <col min="6935" max="6936" width="5.7109375" style="64" bestFit="1" customWidth="1"/>
    <col min="6937" max="6937" width="6.28515625" style="64" bestFit="1" customWidth="1"/>
    <col min="6938" max="6939" width="5.5703125" style="64" bestFit="1" customWidth="1"/>
    <col min="6940" max="7168" width="5.140625" style="64"/>
    <col min="7169" max="7170" width="4.7109375" style="64" customWidth="1"/>
    <col min="7171" max="7171" width="12.28515625" style="64" customWidth="1"/>
    <col min="7172" max="7173" width="5.7109375" style="64" customWidth="1"/>
    <col min="7174" max="7174" width="6.7109375" style="64" customWidth="1"/>
    <col min="7175" max="7175" width="5.7109375" style="64" customWidth="1"/>
    <col min="7176" max="7176" width="7.7109375" style="64" customWidth="1"/>
    <col min="7177" max="7177" width="4.7109375" style="64" customWidth="1"/>
    <col min="7178" max="7179" width="5.7109375" style="64" customWidth="1"/>
    <col min="7180" max="7180" width="7.7109375" style="64" customWidth="1"/>
    <col min="7181" max="7181" width="4.7109375" style="64" customWidth="1"/>
    <col min="7182" max="7185" width="5.7109375" style="64" customWidth="1"/>
    <col min="7186" max="7186" width="4.7109375" style="64" customWidth="1"/>
    <col min="7187" max="7187" width="7.28515625" style="64" customWidth="1"/>
    <col min="7188" max="7190" width="8.7109375" style="64" customWidth="1"/>
    <col min="7191" max="7192" width="5.7109375" style="64" bestFit="1" customWidth="1"/>
    <col min="7193" max="7193" width="6.28515625" style="64" bestFit="1" customWidth="1"/>
    <col min="7194" max="7195" width="5.5703125" style="64" bestFit="1" customWidth="1"/>
    <col min="7196" max="7424" width="5.140625" style="64"/>
    <col min="7425" max="7426" width="4.7109375" style="64" customWidth="1"/>
    <col min="7427" max="7427" width="12.28515625" style="64" customWidth="1"/>
    <col min="7428" max="7429" width="5.7109375" style="64" customWidth="1"/>
    <col min="7430" max="7430" width="6.7109375" style="64" customWidth="1"/>
    <col min="7431" max="7431" width="5.7109375" style="64" customWidth="1"/>
    <col min="7432" max="7432" width="7.7109375" style="64" customWidth="1"/>
    <col min="7433" max="7433" width="4.7109375" style="64" customWidth="1"/>
    <col min="7434" max="7435" width="5.7109375" style="64" customWidth="1"/>
    <col min="7436" max="7436" width="7.7109375" style="64" customWidth="1"/>
    <col min="7437" max="7437" width="4.7109375" style="64" customWidth="1"/>
    <col min="7438" max="7441" width="5.7109375" style="64" customWidth="1"/>
    <col min="7442" max="7442" width="4.7109375" style="64" customWidth="1"/>
    <col min="7443" max="7443" width="7.28515625" style="64" customWidth="1"/>
    <col min="7444" max="7446" width="8.7109375" style="64" customWidth="1"/>
    <col min="7447" max="7448" width="5.7109375" style="64" bestFit="1" customWidth="1"/>
    <col min="7449" max="7449" width="6.28515625" style="64" bestFit="1" customWidth="1"/>
    <col min="7450" max="7451" width="5.5703125" style="64" bestFit="1" customWidth="1"/>
    <col min="7452" max="7680" width="5.140625" style="64"/>
    <col min="7681" max="7682" width="4.7109375" style="64" customWidth="1"/>
    <col min="7683" max="7683" width="12.28515625" style="64" customWidth="1"/>
    <col min="7684" max="7685" width="5.7109375" style="64" customWidth="1"/>
    <col min="7686" max="7686" width="6.7109375" style="64" customWidth="1"/>
    <col min="7687" max="7687" width="5.7109375" style="64" customWidth="1"/>
    <col min="7688" max="7688" width="7.7109375" style="64" customWidth="1"/>
    <col min="7689" max="7689" width="4.7109375" style="64" customWidth="1"/>
    <col min="7690" max="7691" width="5.7109375" style="64" customWidth="1"/>
    <col min="7692" max="7692" width="7.7109375" style="64" customWidth="1"/>
    <col min="7693" max="7693" width="4.7109375" style="64" customWidth="1"/>
    <col min="7694" max="7697" width="5.7109375" style="64" customWidth="1"/>
    <col min="7698" max="7698" width="4.7109375" style="64" customWidth="1"/>
    <col min="7699" max="7699" width="7.28515625" style="64" customWidth="1"/>
    <col min="7700" max="7702" width="8.7109375" style="64" customWidth="1"/>
    <col min="7703" max="7704" width="5.7109375" style="64" bestFit="1" customWidth="1"/>
    <col min="7705" max="7705" width="6.28515625" style="64" bestFit="1" customWidth="1"/>
    <col min="7706" max="7707" width="5.5703125" style="64" bestFit="1" customWidth="1"/>
    <col min="7708" max="7936" width="5.140625" style="64"/>
    <col min="7937" max="7938" width="4.7109375" style="64" customWidth="1"/>
    <col min="7939" max="7939" width="12.28515625" style="64" customWidth="1"/>
    <col min="7940" max="7941" width="5.7109375" style="64" customWidth="1"/>
    <col min="7942" max="7942" width="6.7109375" style="64" customWidth="1"/>
    <col min="7943" max="7943" width="5.7109375" style="64" customWidth="1"/>
    <col min="7944" max="7944" width="7.7109375" style="64" customWidth="1"/>
    <col min="7945" max="7945" width="4.7109375" style="64" customWidth="1"/>
    <col min="7946" max="7947" width="5.7109375" style="64" customWidth="1"/>
    <col min="7948" max="7948" width="7.7109375" style="64" customWidth="1"/>
    <col min="7949" max="7949" width="4.7109375" style="64" customWidth="1"/>
    <col min="7950" max="7953" width="5.7109375" style="64" customWidth="1"/>
    <col min="7954" max="7954" width="4.7109375" style="64" customWidth="1"/>
    <col min="7955" max="7955" width="7.28515625" style="64" customWidth="1"/>
    <col min="7956" max="7958" width="8.7109375" style="64" customWidth="1"/>
    <col min="7959" max="7960" width="5.7109375" style="64" bestFit="1" customWidth="1"/>
    <col min="7961" max="7961" width="6.28515625" style="64" bestFit="1" customWidth="1"/>
    <col min="7962" max="7963" width="5.5703125" style="64" bestFit="1" customWidth="1"/>
    <col min="7964" max="8192" width="5.140625" style="64"/>
    <col min="8193" max="8194" width="4.7109375" style="64" customWidth="1"/>
    <col min="8195" max="8195" width="12.28515625" style="64" customWidth="1"/>
    <col min="8196" max="8197" width="5.7109375" style="64" customWidth="1"/>
    <col min="8198" max="8198" width="6.7109375" style="64" customWidth="1"/>
    <col min="8199" max="8199" width="5.7109375" style="64" customWidth="1"/>
    <col min="8200" max="8200" width="7.7109375" style="64" customWidth="1"/>
    <col min="8201" max="8201" width="4.7109375" style="64" customWidth="1"/>
    <col min="8202" max="8203" width="5.7109375" style="64" customWidth="1"/>
    <col min="8204" max="8204" width="7.7109375" style="64" customWidth="1"/>
    <col min="8205" max="8205" width="4.7109375" style="64" customWidth="1"/>
    <col min="8206" max="8209" width="5.7109375" style="64" customWidth="1"/>
    <col min="8210" max="8210" width="4.7109375" style="64" customWidth="1"/>
    <col min="8211" max="8211" width="7.28515625" style="64" customWidth="1"/>
    <col min="8212" max="8214" width="8.7109375" style="64" customWidth="1"/>
    <col min="8215" max="8216" width="5.7109375" style="64" bestFit="1" customWidth="1"/>
    <col min="8217" max="8217" width="6.28515625" style="64" bestFit="1" customWidth="1"/>
    <col min="8218" max="8219" width="5.5703125" style="64" bestFit="1" customWidth="1"/>
    <col min="8220" max="8448" width="5.140625" style="64"/>
    <col min="8449" max="8450" width="4.7109375" style="64" customWidth="1"/>
    <col min="8451" max="8451" width="12.28515625" style="64" customWidth="1"/>
    <col min="8452" max="8453" width="5.7109375" style="64" customWidth="1"/>
    <col min="8454" max="8454" width="6.7109375" style="64" customWidth="1"/>
    <col min="8455" max="8455" width="5.7109375" style="64" customWidth="1"/>
    <col min="8456" max="8456" width="7.7109375" style="64" customWidth="1"/>
    <col min="8457" max="8457" width="4.7109375" style="64" customWidth="1"/>
    <col min="8458" max="8459" width="5.7109375" style="64" customWidth="1"/>
    <col min="8460" max="8460" width="7.7109375" style="64" customWidth="1"/>
    <col min="8461" max="8461" width="4.7109375" style="64" customWidth="1"/>
    <col min="8462" max="8465" width="5.7109375" style="64" customWidth="1"/>
    <col min="8466" max="8466" width="4.7109375" style="64" customWidth="1"/>
    <col min="8467" max="8467" width="7.28515625" style="64" customWidth="1"/>
    <col min="8468" max="8470" width="8.7109375" style="64" customWidth="1"/>
    <col min="8471" max="8472" width="5.7109375" style="64" bestFit="1" customWidth="1"/>
    <col min="8473" max="8473" width="6.28515625" style="64" bestFit="1" customWidth="1"/>
    <col min="8474" max="8475" width="5.5703125" style="64" bestFit="1" customWidth="1"/>
    <col min="8476" max="8704" width="5.140625" style="64"/>
    <col min="8705" max="8706" width="4.7109375" style="64" customWidth="1"/>
    <col min="8707" max="8707" width="12.28515625" style="64" customWidth="1"/>
    <col min="8708" max="8709" width="5.7109375" style="64" customWidth="1"/>
    <col min="8710" max="8710" width="6.7109375" style="64" customWidth="1"/>
    <col min="8711" max="8711" width="5.7109375" style="64" customWidth="1"/>
    <col min="8712" max="8712" width="7.7109375" style="64" customWidth="1"/>
    <col min="8713" max="8713" width="4.7109375" style="64" customWidth="1"/>
    <col min="8714" max="8715" width="5.7109375" style="64" customWidth="1"/>
    <col min="8716" max="8716" width="7.7109375" style="64" customWidth="1"/>
    <col min="8717" max="8717" width="4.7109375" style="64" customWidth="1"/>
    <col min="8718" max="8721" width="5.7109375" style="64" customWidth="1"/>
    <col min="8722" max="8722" width="4.7109375" style="64" customWidth="1"/>
    <col min="8723" max="8723" width="7.28515625" style="64" customWidth="1"/>
    <col min="8724" max="8726" width="8.7109375" style="64" customWidth="1"/>
    <col min="8727" max="8728" width="5.7109375" style="64" bestFit="1" customWidth="1"/>
    <col min="8729" max="8729" width="6.28515625" style="64" bestFit="1" customWidth="1"/>
    <col min="8730" max="8731" width="5.5703125" style="64" bestFit="1" customWidth="1"/>
    <col min="8732" max="8960" width="5.140625" style="64"/>
    <col min="8961" max="8962" width="4.7109375" style="64" customWidth="1"/>
    <col min="8963" max="8963" width="12.28515625" style="64" customWidth="1"/>
    <col min="8964" max="8965" width="5.7109375" style="64" customWidth="1"/>
    <col min="8966" max="8966" width="6.7109375" style="64" customWidth="1"/>
    <col min="8967" max="8967" width="5.7109375" style="64" customWidth="1"/>
    <col min="8968" max="8968" width="7.7109375" style="64" customWidth="1"/>
    <col min="8969" max="8969" width="4.7109375" style="64" customWidth="1"/>
    <col min="8970" max="8971" width="5.7109375" style="64" customWidth="1"/>
    <col min="8972" max="8972" width="7.7109375" style="64" customWidth="1"/>
    <col min="8973" max="8973" width="4.7109375" style="64" customWidth="1"/>
    <col min="8974" max="8977" width="5.7109375" style="64" customWidth="1"/>
    <col min="8978" max="8978" width="4.7109375" style="64" customWidth="1"/>
    <col min="8979" max="8979" width="7.28515625" style="64" customWidth="1"/>
    <col min="8980" max="8982" width="8.7109375" style="64" customWidth="1"/>
    <col min="8983" max="8984" width="5.7109375" style="64" bestFit="1" customWidth="1"/>
    <col min="8985" max="8985" width="6.28515625" style="64" bestFit="1" customWidth="1"/>
    <col min="8986" max="8987" width="5.5703125" style="64" bestFit="1" customWidth="1"/>
    <col min="8988" max="9216" width="5.140625" style="64"/>
    <col min="9217" max="9218" width="4.7109375" style="64" customWidth="1"/>
    <col min="9219" max="9219" width="12.28515625" style="64" customWidth="1"/>
    <col min="9220" max="9221" width="5.7109375" style="64" customWidth="1"/>
    <col min="9222" max="9222" width="6.7109375" style="64" customWidth="1"/>
    <col min="9223" max="9223" width="5.7109375" style="64" customWidth="1"/>
    <col min="9224" max="9224" width="7.7109375" style="64" customWidth="1"/>
    <col min="9225" max="9225" width="4.7109375" style="64" customWidth="1"/>
    <col min="9226" max="9227" width="5.7109375" style="64" customWidth="1"/>
    <col min="9228" max="9228" width="7.7109375" style="64" customWidth="1"/>
    <col min="9229" max="9229" width="4.7109375" style="64" customWidth="1"/>
    <col min="9230" max="9233" width="5.7109375" style="64" customWidth="1"/>
    <col min="9234" max="9234" width="4.7109375" style="64" customWidth="1"/>
    <col min="9235" max="9235" width="7.28515625" style="64" customWidth="1"/>
    <col min="9236" max="9238" width="8.7109375" style="64" customWidth="1"/>
    <col min="9239" max="9240" width="5.7109375" style="64" bestFit="1" customWidth="1"/>
    <col min="9241" max="9241" width="6.28515625" style="64" bestFit="1" customWidth="1"/>
    <col min="9242" max="9243" width="5.5703125" style="64" bestFit="1" customWidth="1"/>
    <col min="9244" max="9472" width="5.140625" style="64"/>
    <col min="9473" max="9474" width="4.7109375" style="64" customWidth="1"/>
    <col min="9475" max="9475" width="12.28515625" style="64" customWidth="1"/>
    <col min="9476" max="9477" width="5.7109375" style="64" customWidth="1"/>
    <col min="9478" max="9478" width="6.7109375" style="64" customWidth="1"/>
    <col min="9479" max="9479" width="5.7109375" style="64" customWidth="1"/>
    <col min="9480" max="9480" width="7.7109375" style="64" customWidth="1"/>
    <col min="9481" max="9481" width="4.7109375" style="64" customWidth="1"/>
    <col min="9482" max="9483" width="5.7109375" style="64" customWidth="1"/>
    <col min="9484" max="9484" width="7.7109375" style="64" customWidth="1"/>
    <col min="9485" max="9485" width="4.7109375" style="64" customWidth="1"/>
    <col min="9486" max="9489" width="5.7109375" style="64" customWidth="1"/>
    <col min="9490" max="9490" width="4.7109375" style="64" customWidth="1"/>
    <col min="9491" max="9491" width="7.28515625" style="64" customWidth="1"/>
    <col min="9492" max="9494" width="8.7109375" style="64" customWidth="1"/>
    <col min="9495" max="9496" width="5.7109375" style="64" bestFit="1" customWidth="1"/>
    <col min="9497" max="9497" width="6.28515625" style="64" bestFit="1" customWidth="1"/>
    <col min="9498" max="9499" width="5.5703125" style="64" bestFit="1" customWidth="1"/>
    <col min="9500" max="9728" width="5.140625" style="64"/>
    <col min="9729" max="9730" width="4.7109375" style="64" customWidth="1"/>
    <col min="9731" max="9731" width="12.28515625" style="64" customWidth="1"/>
    <col min="9732" max="9733" width="5.7109375" style="64" customWidth="1"/>
    <col min="9734" max="9734" width="6.7109375" style="64" customWidth="1"/>
    <col min="9735" max="9735" width="5.7109375" style="64" customWidth="1"/>
    <col min="9736" max="9736" width="7.7109375" style="64" customWidth="1"/>
    <col min="9737" max="9737" width="4.7109375" style="64" customWidth="1"/>
    <col min="9738" max="9739" width="5.7109375" style="64" customWidth="1"/>
    <col min="9740" max="9740" width="7.7109375" style="64" customWidth="1"/>
    <col min="9741" max="9741" width="4.7109375" style="64" customWidth="1"/>
    <col min="9742" max="9745" width="5.7109375" style="64" customWidth="1"/>
    <col min="9746" max="9746" width="4.7109375" style="64" customWidth="1"/>
    <col min="9747" max="9747" width="7.28515625" style="64" customWidth="1"/>
    <col min="9748" max="9750" width="8.7109375" style="64" customWidth="1"/>
    <col min="9751" max="9752" width="5.7109375" style="64" bestFit="1" customWidth="1"/>
    <col min="9753" max="9753" width="6.28515625" style="64" bestFit="1" customWidth="1"/>
    <col min="9754" max="9755" width="5.5703125" style="64" bestFit="1" customWidth="1"/>
    <col min="9756" max="9984" width="5.140625" style="64"/>
    <col min="9985" max="9986" width="4.7109375" style="64" customWidth="1"/>
    <col min="9987" max="9987" width="12.28515625" style="64" customWidth="1"/>
    <col min="9988" max="9989" width="5.7109375" style="64" customWidth="1"/>
    <col min="9990" max="9990" width="6.7109375" style="64" customWidth="1"/>
    <col min="9991" max="9991" width="5.7109375" style="64" customWidth="1"/>
    <col min="9992" max="9992" width="7.7109375" style="64" customWidth="1"/>
    <col min="9993" max="9993" width="4.7109375" style="64" customWidth="1"/>
    <col min="9994" max="9995" width="5.7109375" style="64" customWidth="1"/>
    <col min="9996" max="9996" width="7.7109375" style="64" customWidth="1"/>
    <col min="9997" max="9997" width="4.7109375" style="64" customWidth="1"/>
    <col min="9998" max="10001" width="5.7109375" style="64" customWidth="1"/>
    <col min="10002" max="10002" width="4.7109375" style="64" customWidth="1"/>
    <col min="10003" max="10003" width="7.28515625" style="64" customWidth="1"/>
    <col min="10004" max="10006" width="8.7109375" style="64" customWidth="1"/>
    <col min="10007" max="10008" width="5.7109375" style="64" bestFit="1" customWidth="1"/>
    <col min="10009" max="10009" width="6.28515625" style="64" bestFit="1" customWidth="1"/>
    <col min="10010" max="10011" width="5.5703125" style="64" bestFit="1" customWidth="1"/>
    <col min="10012" max="10240" width="5.140625" style="64"/>
    <col min="10241" max="10242" width="4.7109375" style="64" customWidth="1"/>
    <col min="10243" max="10243" width="12.28515625" style="64" customWidth="1"/>
    <col min="10244" max="10245" width="5.7109375" style="64" customWidth="1"/>
    <col min="10246" max="10246" width="6.7109375" style="64" customWidth="1"/>
    <col min="10247" max="10247" width="5.7109375" style="64" customWidth="1"/>
    <col min="10248" max="10248" width="7.7109375" style="64" customWidth="1"/>
    <col min="10249" max="10249" width="4.7109375" style="64" customWidth="1"/>
    <col min="10250" max="10251" width="5.7109375" style="64" customWidth="1"/>
    <col min="10252" max="10252" width="7.7109375" style="64" customWidth="1"/>
    <col min="10253" max="10253" width="4.7109375" style="64" customWidth="1"/>
    <col min="10254" max="10257" width="5.7109375" style="64" customWidth="1"/>
    <col min="10258" max="10258" width="4.7109375" style="64" customWidth="1"/>
    <col min="10259" max="10259" width="7.28515625" style="64" customWidth="1"/>
    <col min="10260" max="10262" width="8.7109375" style="64" customWidth="1"/>
    <col min="10263" max="10264" width="5.7109375" style="64" bestFit="1" customWidth="1"/>
    <col min="10265" max="10265" width="6.28515625" style="64" bestFit="1" customWidth="1"/>
    <col min="10266" max="10267" width="5.5703125" style="64" bestFit="1" customWidth="1"/>
    <col min="10268" max="10496" width="5.140625" style="64"/>
    <col min="10497" max="10498" width="4.7109375" style="64" customWidth="1"/>
    <col min="10499" max="10499" width="12.28515625" style="64" customWidth="1"/>
    <col min="10500" max="10501" width="5.7109375" style="64" customWidth="1"/>
    <col min="10502" max="10502" width="6.7109375" style="64" customWidth="1"/>
    <col min="10503" max="10503" width="5.7109375" style="64" customWidth="1"/>
    <col min="10504" max="10504" width="7.7109375" style="64" customWidth="1"/>
    <col min="10505" max="10505" width="4.7109375" style="64" customWidth="1"/>
    <col min="10506" max="10507" width="5.7109375" style="64" customWidth="1"/>
    <col min="10508" max="10508" width="7.7109375" style="64" customWidth="1"/>
    <col min="10509" max="10509" width="4.7109375" style="64" customWidth="1"/>
    <col min="10510" max="10513" width="5.7109375" style="64" customWidth="1"/>
    <col min="10514" max="10514" width="4.7109375" style="64" customWidth="1"/>
    <col min="10515" max="10515" width="7.28515625" style="64" customWidth="1"/>
    <col min="10516" max="10518" width="8.7109375" style="64" customWidth="1"/>
    <col min="10519" max="10520" width="5.7109375" style="64" bestFit="1" customWidth="1"/>
    <col min="10521" max="10521" width="6.28515625" style="64" bestFit="1" customWidth="1"/>
    <col min="10522" max="10523" width="5.5703125" style="64" bestFit="1" customWidth="1"/>
    <col min="10524" max="10752" width="5.140625" style="64"/>
    <col min="10753" max="10754" width="4.7109375" style="64" customWidth="1"/>
    <col min="10755" max="10755" width="12.28515625" style="64" customWidth="1"/>
    <col min="10756" max="10757" width="5.7109375" style="64" customWidth="1"/>
    <col min="10758" max="10758" width="6.7109375" style="64" customWidth="1"/>
    <col min="10759" max="10759" width="5.7109375" style="64" customWidth="1"/>
    <col min="10760" max="10760" width="7.7109375" style="64" customWidth="1"/>
    <col min="10761" max="10761" width="4.7109375" style="64" customWidth="1"/>
    <col min="10762" max="10763" width="5.7109375" style="64" customWidth="1"/>
    <col min="10764" max="10764" width="7.7109375" style="64" customWidth="1"/>
    <col min="10765" max="10765" width="4.7109375" style="64" customWidth="1"/>
    <col min="10766" max="10769" width="5.7109375" style="64" customWidth="1"/>
    <col min="10770" max="10770" width="4.7109375" style="64" customWidth="1"/>
    <col min="10771" max="10771" width="7.28515625" style="64" customWidth="1"/>
    <col min="10772" max="10774" width="8.7109375" style="64" customWidth="1"/>
    <col min="10775" max="10776" width="5.7109375" style="64" bestFit="1" customWidth="1"/>
    <col min="10777" max="10777" width="6.28515625" style="64" bestFit="1" customWidth="1"/>
    <col min="10778" max="10779" width="5.5703125" style="64" bestFit="1" customWidth="1"/>
    <col min="10780" max="11008" width="5.140625" style="64"/>
    <col min="11009" max="11010" width="4.7109375" style="64" customWidth="1"/>
    <col min="11011" max="11011" width="12.28515625" style="64" customWidth="1"/>
    <col min="11012" max="11013" width="5.7109375" style="64" customWidth="1"/>
    <col min="11014" max="11014" width="6.7109375" style="64" customWidth="1"/>
    <col min="11015" max="11015" width="5.7109375" style="64" customWidth="1"/>
    <col min="11016" max="11016" width="7.7109375" style="64" customWidth="1"/>
    <col min="11017" max="11017" width="4.7109375" style="64" customWidth="1"/>
    <col min="11018" max="11019" width="5.7109375" style="64" customWidth="1"/>
    <col min="11020" max="11020" width="7.7109375" style="64" customWidth="1"/>
    <col min="11021" max="11021" width="4.7109375" style="64" customWidth="1"/>
    <col min="11022" max="11025" width="5.7109375" style="64" customWidth="1"/>
    <col min="11026" max="11026" width="4.7109375" style="64" customWidth="1"/>
    <col min="11027" max="11027" width="7.28515625" style="64" customWidth="1"/>
    <col min="11028" max="11030" width="8.7109375" style="64" customWidth="1"/>
    <col min="11031" max="11032" width="5.7109375" style="64" bestFit="1" customWidth="1"/>
    <col min="11033" max="11033" width="6.28515625" style="64" bestFit="1" customWidth="1"/>
    <col min="11034" max="11035" width="5.5703125" style="64" bestFit="1" customWidth="1"/>
    <col min="11036" max="11264" width="5.140625" style="64"/>
    <col min="11265" max="11266" width="4.7109375" style="64" customWidth="1"/>
    <col min="11267" max="11267" width="12.28515625" style="64" customWidth="1"/>
    <col min="11268" max="11269" width="5.7109375" style="64" customWidth="1"/>
    <col min="11270" max="11270" width="6.7109375" style="64" customWidth="1"/>
    <col min="11271" max="11271" width="5.7109375" style="64" customWidth="1"/>
    <col min="11272" max="11272" width="7.7109375" style="64" customWidth="1"/>
    <col min="11273" max="11273" width="4.7109375" style="64" customWidth="1"/>
    <col min="11274" max="11275" width="5.7109375" style="64" customWidth="1"/>
    <col min="11276" max="11276" width="7.7109375" style="64" customWidth="1"/>
    <col min="11277" max="11277" width="4.7109375" style="64" customWidth="1"/>
    <col min="11278" max="11281" width="5.7109375" style="64" customWidth="1"/>
    <col min="11282" max="11282" width="4.7109375" style="64" customWidth="1"/>
    <col min="11283" max="11283" width="7.28515625" style="64" customWidth="1"/>
    <col min="11284" max="11286" width="8.7109375" style="64" customWidth="1"/>
    <col min="11287" max="11288" width="5.7109375" style="64" bestFit="1" customWidth="1"/>
    <col min="11289" max="11289" width="6.28515625" style="64" bestFit="1" customWidth="1"/>
    <col min="11290" max="11291" width="5.5703125" style="64" bestFit="1" customWidth="1"/>
    <col min="11292" max="11520" width="5.140625" style="64"/>
    <col min="11521" max="11522" width="4.7109375" style="64" customWidth="1"/>
    <col min="11523" max="11523" width="12.28515625" style="64" customWidth="1"/>
    <col min="11524" max="11525" width="5.7109375" style="64" customWidth="1"/>
    <col min="11526" max="11526" width="6.7109375" style="64" customWidth="1"/>
    <col min="11527" max="11527" width="5.7109375" style="64" customWidth="1"/>
    <col min="11528" max="11528" width="7.7109375" style="64" customWidth="1"/>
    <col min="11529" max="11529" width="4.7109375" style="64" customWidth="1"/>
    <col min="11530" max="11531" width="5.7109375" style="64" customWidth="1"/>
    <col min="11532" max="11532" width="7.7109375" style="64" customWidth="1"/>
    <col min="11533" max="11533" width="4.7109375" style="64" customWidth="1"/>
    <col min="11534" max="11537" width="5.7109375" style="64" customWidth="1"/>
    <col min="11538" max="11538" width="4.7109375" style="64" customWidth="1"/>
    <col min="11539" max="11539" width="7.28515625" style="64" customWidth="1"/>
    <col min="11540" max="11542" width="8.7109375" style="64" customWidth="1"/>
    <col min="11543" max="11544" width="5.7109375" style="64" bestFit="1" customWidth="1"/>
    <col min="11545" max="11545" width="6.28515625" style="64" bestFit="1" customWidth="1"/>
    <col min="11546" max="11547" width="5.5703125" style="64" bestFit="1" customWidth="1"/>
    <col min="11548" max="11776" width="5.140625" style="64"/>
    <col min="11777" max="11778" width="4.7109375" style="64" customWidth="1"/>
    <col min="11779" max="11779" width="12.28515625" style="64" customWidth="1"/>
    <col min="11780" max="11781" width="5.7109375" style="64" customWidth="1"/>
    <col min="11782" max="11782" width="6.7109375" style="64" customWidth="1"/>
    <col min="11783" max="11783" width="5.7109375" style="64" customWidth="1"/>
    <col min="11784" max="11784" width="7.7109375" style="64" customWidth="1"/>
    <col min="11785" max="11785" width="4.7109375" style="64" customWidth="1"/>
    <col min="11786" max="11787" width="5.7109375" style="64" customWidth="1"/>
    <col min="11788" max="11788" width="7.7109375" style="64" customWidth="1"/>
    <col min="11789" max="11789" width="4.7109375" style="64" customWidth="1"/>
    <col min="11790" max="11793" width="5.7109375" style="64" customWidth="1"/>
    <col min="11794" max="11794" width="4.7109375" style="64" customWidth="1"/>
    <col min="11795" max="11795" width="7.28515625" style="64" customWidth="1"/>
    <col min="11796" max="11798" width="8.7109375" style="64" customWidth="1"/>
    <col min="11799" max="11800" width="5.7109375" style="64" bestFit="1" customWidth="1"/>
    <col min="11801" max="11801" width="6.28515625" style="64" bestFit="1" customWidth="1"/>
    <col min="11802" max="11803" width="5.5703125" style="64" bestFit="1" customWidth="1"/>
    <col min="11804" max="12032" width="5.140625" style="64"/>
    <col min="12033" max="12034" width="4.7109375" style="64" customWidth="1"/>
    <col min="12035" max="12035" width="12.28515625" style="64" customWidth="1"/>
    <col min="12036" max="12037" width="5.7109375" style="64" customWidth="1"/>
    <col min="12038" max="12038" width="6.7109375" style="64" customWidth="1"/>
    <col min="12039" max="12039" width="5.7109375" style="64" customWidth="1"/>
    <col min="12040" max="12040" width="7.7109375" style="64" customWidth="1"/>
    <col min="12041" max="12041" width="4.7109375" style="64" customWidth="1"/>
    <col min="12042" max="12043" width="5.7109375" style="64" customWidth="1"/>
    <col min="12044" max="12044" width="7.7109375" style="64" customWidth="1"/>
    <col min="12045" max="12045" width="4.7109375" style="64" customWidth="1"/>
    <col min="12046" max="12049" width="5.7109375" style="64" customWidth="1"/>
    <col min="12050" max="12050" width="4.7109375" style="64" customWidth="1"/>
    <col min="12051" max="12051" width="7.28515625" style="64" customWidth="1"/>
    <col min="12052" max="12054" width="8.7109375" style="64" customWidth="1"/>
    <col min="12055" max="12056" width="5.7109375" style="64" bestFit="1" customWidth="1"/>
    <col min="12057" max="12057" width="6.28515625" style="64" bestFit="1" customWidth="1"/>
    <col min="12058" max="12059" width="5.5703125" style="64" bestFit="1" customWidth="1"/>
    <col min="12060" max="12288" width="5.140625" style="64"/>
    <col min="12289" max="12290" width="4.7109375" style="64" customWidth="1"/>
    <col min="12291" max="12291" width="12.28515625" style="64" customWidth="1"/>
    <col min="12292" max="12293" width="5.7109375" style="64" customWidth="1"/>
    <col min="12294" max="12294" width="6.7109375" style="64" customWidth="1"/>
    <col min="12295" max="12295" width="5.7109375" style="64" customWidth="1"/>
    <col min="12296" max="12296" width="7.7109375" style="64" customWidth="1"/>
    <col min="12297" max="12297" width="4.7109375" style="64" customWidth="1"/>
    <col min="12298" max="12299" width="5.7109375" style="64" customWidth="1"/>
    <col min="12300" max="12300" width="7.7109375" style="64" customWidth="1"/>
    <col min="12301" max="12301" width="4.7109375" style="64" customWidth="1"/>
    <col min="12302" max="12305" width="5.7109375" style="64" customWidth="1"/>
    <col min="12306" max="12306" width="4.7109375" style="64" customWidth="1"/>
    <col min="12307" max="12307" width="7.28515625" style="64" customWidth="1"/>
    <col min="12308" max="12310" width="8.7109375" style="64" customWidth="1"/>
    <col min="12311" max="12312" width="5.7109375" style="64" bestFit="1" customWidth="1"/>
    <col min="12313" max="12313" width="6.28515625" style="64" bestFit="1" customWidth="1"/>
    <col min="12314" max="12315" width="5.5703125" style="64" bestFit="1" customWidth="1"/>
    <col min="12316" max="12544" width="5.140625" style="64"/>
    <col min="12545" max="12546" width="4.7109375" style="64" customWidth="1"/>
    <col min="12547" max="12547" width="12.28515625" style="64" customWidth="1"/>
    <col min="12548" max="12549" width="5.7109375" style="64" customWidth="1"/>
    <col min="12550" max="12550" width="6.7109375" style="64" customWidth="1"/>
    <col min="12551" max="12551" width="5.7109375" style="64" customWidth="1"/>
    <col min="12552" max="12552" width="7.7109375" style="64" customWidth="1"/>
    <col min="12553" max="12553" width="4.7109375" style="64" customWidth="1"/>
    <col min="12554" max="12555" width="5.7109375" style="64" customWidth="1"/>
    <col min="12556" max="12556" width="7.7109375" style="64" customWidth="1"/>
    <col min="12557" max="12557" width="4.7109375" style="64" customWidth="1"/>
    <col min="12558" max="12561" width="5.7109375" style="64" customWidth="1"/>
    <col min="12562" max="12562" width="4.7109375" style="64" customWidth="1"/>
    <col min="12563" max="12563" width="7.28515625" style="64" customWidth="1"/>
    <col min="12564" max="12566" width="8.7109375" style="64" customWidth="1"/>
    <col min="12567" max="12568" width="5.7109375" style="64" bestFit="1" customWidth="1"/>
    <col min="12569" max="12569" width="6.28515625" style="64" bestFit="1" customWidth="1"/>
    <col min="12570" max="12571" width="5.5703125" style="64" bestFit="1" customWidth="1"/>
    <col min="12572" max="12800" width="5.140625" style="64"/>
    <col min="12801" max="12802" width="4.7109375" style="64" customWidth="1"/>
    <col min="12803" max="12803" width="12.28515625" style="64" customWidth="1"/>
    <col min="12804" max="12805" width="5.7109375" style="64" customWidth="1"/>
    <col min="12806" max="12806" width="6.7109375" style="64" customWidth="1"/>
    <col min="12807" max="12807" width="5.7109375" style="64" customWidth="1"/>
    <col min="12808" max="12808" width="7.7109375" style="64" customWidth="1"/>
    <col min="12809" max="12809" width="4.7109375" style="64" customWidth="1"/>
    <col min="12810" max="12811" width="5.7109375" style="64" customWidth="1"/>
    <col min="12812" max="12812" width="7.7109375" style="64" customWidth="1"/>
    <col min="12813" max="12813" width="4.7109375" style="64" customWidth="1"/>
    <col min="12814" max="12817" width="5.7109375" style="64" customWidth="1"/>
    <col min="12818" max="12818" width="4.7109375" style="64" customWidth="1"/>
    <col min="12819" max="12819" width="7.28515625" style="64" customWidth="1"/>
    <col min="12820" max="12822" width="8.7109375" style="64" customWidth="1"/>
    <col min="12823" max="12824" width="5.7109375" style="64" bestFit="1" customWidth="1"/>
    <col min="12825" max="12825" width="6.28515625" style="64" bestFit="1" customWidth="1"/>
    <col min="12826" max="12827" width="5.5703125" style="64" bestFit="1" customWidth="1"/>
    <col min="12828" max="13056" width="5.140625" style="64"/>
    <col min="13057" max="13058" width="4.7109375" style="64" customWidth="1"/>
    <col min="13059" max="13059" width="12.28515625" style="64" customWidth="1"/>
    <col min="13060" max="13061" width="5.7109375" style="64" customWidth="1"/>
    <col min="13062" max="13062" width="6.7109375" style="64" customWidth="1"/>
    <col min="13063" max="13063" width="5.7109375" style="64" customWidth="1"/>
    <col min="13064" max="13064" width="7.7109375" style="64" customWidth="1"/>
    <col min="13065" max="13065" width="4.7109375" style="64" customWidth="1"/>
    <col min="13066" max="13067" width="5.7109375" style="64" customWidth="1"/>
    <col min="13068" max="13068" width="7.7109375" style="64" customWidth="1"/>
    <col min="13069" max="13069" width="4.7109375" style="64" customWidth="1"/>
    <col min="13070" max="13073" width="5.7109375" style="64" customWidth="1"/>
    <col min="13074" max="13074" width="4.7109375" style="64" customWidth="1"/>
    <col min="13075" max="13075" width="7.28515625" style="64" customWidth="1"/>
    <col min="13076" max="13078" width="8.7109375" style="64" customWidth="1"/>
    <col min="13079" max="13080" width="5.7109375" style="64" bestFit="1" customWidth="1"/>
    <col min="13081" max="13081" width="6.28515625" style="64" bestFit="1" customWidth="1"/>
    <col min="13082" max="13083" width="5.5703125" style="64" bestFit="1" customWidth="1"/>
    <col min="13084" max="13312" width="5.140625" style="64"/>
    <col min="13313" max="13314" width="4.7109375" style="64" customWidth="1"/>
    <col min="13315" max="13315" width="12.28515625" style="64" customWidth="1"/>
    <col min="13316" max="13317" width="5.7109375" style="64" customWidth="1"/>
    <col min="13318" max="13318" width="6.7109375" style="64" customWidth="1"/>
    <col min="13319" max="13319" width="5.7109375" style="64" customWidth="1"/>
    <col min="13320" max="13320" width="7.7109375" style="64" customWidth="1"/>
    <col min="13321" max="13321" width="4.7109375" style="64" customWidth="1"/>
    <col min="13322" max="13323" width="5.7109375" style="64" customWidth="1"/>
    <col min="13324" max="13324" width="7.7109375" style="64" customWidth="1"/>
    <col min="13325" max="13325" width="4.7109375" style="64" customWidth="1"/>
    <col min="13326" max="13329" width="5.7109375" style="64" customWidth="1"/>
    <col min="13330" max="13330" width="4.7109375" style="64" customWidth="1"/>
    <col min="13331" max="13331" width="7.28515625" style="64" customWidth="1"/>
    <col min="13332" max="13334" width="8.7109375" style="64" customWidth="1"/>
    <col min="13335" max="13336" width="5.7109375" style="64" bestFit="1" customWidth="1"/>
    <col min="13337" max="13337" width="6.28515625" style="64" bestFit="1" customWidth="1"/>
    <col min="13338" max="13339" width="5.5703125" style="64" bestFit="1" customWidth="1"/>
    <col min="13340" max="13568" width="5.140625" style="64"/>
    <col min="13569" max="13570" width="4.7109375" style="64" customWidth="1"/>
    <col min="13571" max="13571" width="12.28515625" style="64" customWidth="1"/>
    <col min="13572" max="13573" width="5.7109375" style="64" customWidth="1"/>
    <col min="13574" max="13574" width="6.7109375" style="64" customWidth="1"/>
    <col min="13575" max="13575" width="5.7109375" style="64" customWidth="1"/>
    <col min="13576" max="13576" width="7.7109375" style="64" customWidth="1"/>
    <col min="13577" max="13577" width="4.7109375" style="64" customWidth="1"/>
    <col min="13578" max="13579" width="5.7109375" style="64" customWidth="1"/>
    <col min="13580" max="13580" width="7.7109375" style="64" customWidth="1"/>
    <col min="13581" max="13581" width="4.7109375" style="64" customWidth="1"/>
    <col min="13582" max="13585" width="5.7109375" style="64" customWidth="1"/>
    <col min="13586" max="13586" width="4.7109375" style="64" customWidth="1"/>
    <col min="13587" max="13587" width="7.28515625" style="64" customWidth="1"/>
    <col min="13588" max="13590" width="8.7109375" style="64" customWidth="1"/>
    <col min="13591" max="13592" width="5.7109375" style="64" bestFit="1" customWidth="1"/>
    <col min="13593" max="13593" width="6.28515625" style="64" bestFit="1" customWidth="1"/>
    <col min="13594" max="13595" width="5.5703125" style="64" bestFit="1" customWidth="1"/>
    <col min="13596" max="13824" width="5.140625" style="64"/>
    <col min="13825" max="13826" width="4.7109375" style="64" customWidth="1"/>
    <col min="13827" max="13827" width="12.28515625" style="64" customWidth="1"/>
    <col min="13828" max="13829" width="5.7109375" style="64" customWidth="1"/>
    <col min="13830" max="13830" width="6.7109375" style="64" customWidth="1"/>
    <col min="13831" max="13831" width="5.7109375" style="64" customWidth="1"/>
    <col min="13832" max="13832" width="7.7109375" style="64" customWidth="1"/>
    <col min="13833" max="13833" width="4.7109375" style="64" customWidth="1"/>
    <col min="13834" max="13835" width="5.7109375" style="64" customWidth="1"/>
    <col min="13836" max="13836" width="7.7109375" style="64" customWidth="1"/>
    <col min="13837" max="13837" width="4.7109375" style="64" customWidth="1"/>
    <col min="13838" max="13841" width="5.7109375" style="64" customWidth="1"/>
    <col min="13842" max="13842" width="4.7109375" style="64" customWidth="1"/>
    <col min="13843" max="13843" width="7.28515625" style="64" customWidth="1"/>
    <col min="13844" max="13846" width="8.7109375" style="64" customWidth="1"/>
    <col min="13847" max="13848" width="5.7109375" style="64" bestFit="1" customWidth="1"/>
    <col min="13849" max="13849" width="6.28515625" style="64" bestFit="1" customWidth="1"/>
    <col min="13850" max="13851" width="5.5703125" style="64" bestFit="1" customWidth="1"/>
    <col min="13852" max="14080" width="5.140625" style="64"/>
    <col min="14081" max="14082" width="4.7109375" style="64" customWidth="1"/>
    <col min="14083" max="14083" width="12.28515625" style="64" customWidth="1"/>
    <col min="14084" max="14085" width="5.7109375" style="64" customWidth="1"/>
    <col min="14086" max="14086" width="6.7109375" style="64" customWidth="1"/>
    <col min="14087" max="14087" width="5.7109375" style="64" customWidth="1"/>
    <col min="14088" max="14088" width="7.7109375" style="64" customWidth="1"/>
    <col min="14089" max="14089" width="4.7109375" style="64" customWidth="1"/>
    <col min="14090" max="14091" width="5.7109375" style="64" customWidth="1"/>
    <col min="14092" max="14092" width="7.7109375" style="64" customWidth="1"/>
    <col min="14093" max="14093" width="4.7109375" style="64" customWidth="1"/>
    <col min="14094" max="14097" width="5.7109375" style="64" customWidth="1"/>
    <col min="14098" max="14098" width="4.7109375" style="64" customWidth="1"/>
    <col min="14099" max="14099" width="7.28515625" style="64" customWidth="1"/>
    <col min="14100" max="14102" width="8.7109375" style="64" customWidth="1"/>
    <col min="14103" max="14104" width="5.7109375" style="64" bestFit="1" customWidth="1"/>
    <col min="14105" max="14105" width="6.28515625" style="64" bestFit="1" customWidth="1"/>
    <col min="14106" max="14107" width="5.5703125" style="64" bestFit="1" customWidth="1"/>
    <col min="14108" max="14336" width="5.140625" style="64"/>
    <col min="14337" max="14338" width="4.7109375" style="64" customWidth="1"/>
    <col min="14339" max="14339" width="12.28515625" style="64" customWidth="1"/>
    <col min="14340" max="14341" width="5.7109375" style="64" customWidth="1"/>
    <col min="14342" max="14342" width="6.7109375" style="64" customWidth="1"/>
    <col min="14343" max="14343" width="5.7109375" style="64" customWidth="1"/>
    <col min="14344" max="14344" width="7.7109375" style="64" customWidth="1"/>
    <col min="14345" max="14345" width="4.7109375" style="64" customWidth="1"/>
    <col min="14346" max="14347" width="5.7109375" style="64" customWidth="1"/>
    <col min="14348" max="14348" width="7.7109375" style="64" customWidth="1"/>
    <col min="14349" max="14349" width="4.7109375" style="64" customWidth="1"/>
    <col min="14350" max="14353" width="5.7109375" style="64" customWidth="1"/>
    <col min="14354" max="14354" width="4.7109375" style="64" customWidth="1"/>
    <col min="14355" max="14355" width="7.28515625" style="64" customWidth="1"/>
    <col min="14356" max="14358" width="8.7109375" style="64" customWidth="1"/>
    <col min="14359" max="14360" width="5.7109375" style="64" bestFit="1" customWidth="1"/>
    <col min="14361" max="14361" width="6.28515625" style="64" bestFit="1" customWidth="1"/>
    <col min="14362" max="14363" width="5.5703125" style="64" bestFit="1" customWidth="1"/>
    <col min="14364" max="14592" width="5.140625" style="64"/>
    <col min="14593" max="14594" width="4.7109375" style="64" customWidth="1"/>
    <col min="14595" max="14595" width="12.28515625" style="64" customWidth="1"/>
    <col min="14596" max="14597" width="5.7109375" style="64" customWidth="1"/>
    <col min="14598" max="14598" width="6.7109375" style="64" customWidth="1"/>
    <col min="14599" max="14599" width="5.7109375" style="64" customWidth="1"/>
    <col min="14600" max="14600" width="7.7109375" style="64" customWidth="1"/>
    <col min="14601" max="14601" width="4.7109375" style="64" customWidth="1"/>
    <col min="14602" max="14603" width="5.7109375" style="64" customWidth="1"/>
    <col min="14604" max="14604" width="7.7109375" style="64" customWidth="1"/>
    <col min="14605" max="14605" width="4.7109375" style="64" customWidth="1"/>
    <col min="14606" max="14609" width="5.7109375" style="64" customWidth="1"/>
    <col min="14610" max="14610" width="4.7109375" style="64" customWidth="1"/>
    <col min="14611" max="14611" width="7.28515625" style="64" customWidth="1"/>
    <col min="14612" max="14614" width="8.7109375" style="64" customWidth="1"/>
    <col min="14615" max="14616" width="5.7109375" style="64" bestFit="1" customWidth="1"/>
    <col min="14617" max="14617" width="6.28515625" style="64" bestFit="1" customWidth="1"/>
    <col min="14618" max="14619" width="5.5703125" style="64" bestFit="1" customWidth="1"/>
    <col min="14620" max="14848" width="5.140625" style="64"/>
    <col min="14849" max="14850" width="4.7109375" style="64" customWidth="1"/>
    <col min="14851" max="14851" width="12.28515625" style="64" customWidth="1"/>
    <col min="14852" max="14853" width="5.7109375" style="64" customWidth="1"/>
    <col min="14854" max="14854" width="6.7109375" style="64" customWidth="1"/>
    <col min="14855" max="14855" width="5.7109375" style="64" customWidth="1"/>
    <col min="14856" max="14856" width="7.7109375" style="64" customWidth="1"/>
    <col min="14857" max="14857" width="4.7109375" style="64" customWidth="1"/>
    <col min="14858" max="14859" width="5.7109375" style="64" customWidth="1"/>
    <col min="14860" max="14860" width="7.7109375" style="64" customWidth="1"/>
    <col min="14861" max="14861" width="4.7109375" style="64" customWidth="1"/>
    <col min="14862" max="14865" width="5.7109375" style="64" customWidth="1"/>
    <col min="14866" max="14866" width="4.7109375" style="64" customWidth="1"/>
    <col min="14867" max="14867" width="7.28515625" style="64" customWidth="1"/>
    <col min="14868" max="14870" width="8.7109375" style="64" customWidth="1"/>
    <col min="14871" max="14872" width="5.7109375" style="64" bestFit="1" customWidth="1"/>
    <col min="14873" max="14873" width="6.28515625" style="64" bestFit="1" customWidth="1"/>
    <col min="14874" max="14875" width="5.5703125" style="64" bestFit="1" customWidth="1"/>
    <col min="14876" max="15104" width="5.140625" style="64"/>
    <col min="15105" max="15106" width="4.7109375" style="64" customWidth="1"/>
    <col min="15107" max="15107" width="12.28515625" style="64" customWidth="1"/>
    <col min="15108" max="15109" width="5.7109375" style="64" customWidth="1"/>
    <col min="15110" max="15110" width="6.7109375" style="64" customWidth="1"/>
    <col min="15111" max="15111" width="5.7109375" style="64" customWidth="1"/>
    <col min="15112" max="15112" width="7.7109375" style="64" customWidth="1"/>
    <col min="15113" max="15113" width="4.7109375" style="64" customWidth="1"/>
    <col min="15114" max="15115" width="5.7109375" style="64" customWidth="1"/>
    <col min="15116" max="15116" width="7.7109375" style="64" customWidth="1"/>
    <col min="15117" max="15117" width="4.7109375" style="64" customWidth="1"/>
    <col min="15118" max="15121" width="5.7109375" style="64" customWidth="1"/>
    <col min="15122" max="15122" width="4.7109375" style="64" customWidth="1"/>
    <col min="15123" max="15123" width="7.28515625" style="64" customWidth="1"/>
    <col min="15124" max="15126" width="8.7109375" style="64" customWidth="1"/>
    <col min="15127" max="15128" width="5.7109375" style="64" bestFit="1" customWidth="1"/>
    <col min="15129" max="15129" width="6.28515625" style="64" bestFit="1" customWidth="1"/>
    <col min="15130" max="15131" width="5.5703125" style="64" bestFit="1" customWidth="1"/>
    <col min="15132" max="15360" width="5.140625" style="64"/>
    <col min="15361" max="15362" width="4.7109375" style="64" customWidth="1"/>
    <col min="15363" max="15363" width="12.28515625" style="64" customWidth="1"/>
    <col min="15364" max="15365" width="5.7109375" style="64" customWidth="1"/>
    <col min="15366" max="15366" width="6.7109375" style="64" customWidth="1"/>
    <col min="15367" max="15367" width="5.7109375" style="64" customWidth="1"/>
    <col min="15368" max="15368" width="7.7109375" style="64" customWidth="1"/>
    <col min="15369" max="15369" width="4.7109375" style="64" customWidth="1"/>
    <col min="15370" max="15371" width="5.7109375" style="64" customWidth="1"/>
    <col min="15372" max="15372" width="7.7109375" style="64" customWidth="1"/>
    <col min="15373" max="15373" width="4.7109375" style="64" customWidth="1"/>
    <col min="15374" max="15377" width="5.7109375" style="64" customWidth="1"/>
    <col min="15378" max="15378" width="4.7109375" style="64" customWidth="1"/>
    <col min="15379" max="15379" width="7.28515625" style="64" customWidth="1"/>
    <col min="15380" max="15382" width="8.7109375" style="64" customWidth="1"/>
    <col min="15383" max="15384" width="5.7109375" style="64" bestFit="1" customWidth="1"/>
    <col min="15385" max="15385" width="6.28515625" style="64" bestFit="1" customWidth="1"/>
    <col min="15386" max="15387" width="5.5703125" style="64" bestFit="1" customWidth="1"/>
    <col min="15388" max="15616" width="5.140625" style="64"/>
    <col min="15617" max="15618" width="4.7109375" style="64" customWidth="1"/>
    <col min="15619" max="15619" width="12.28515625" style="64" customWidth="1"/>
    <col min="15620" max="15621" width="5.7109375" style="64" customWidth="1"/>
    <col min="15622" max="15622" width="6.7109375" style="64" customWidth="1"/>
    <col min="15623" max="15623" width="5.7109375" style="64" customWidth="1"/>
    <col min="15624" max="15624" width="7.7109375" style="64" customWidth="1"/>
    <col min="15625" max="15625" width="4.7109375" style="64" customWidth="1"/>
    <col min="15626" max="15627" width="5.7109375" style="64" customWidth="1"/>
    <col min="15628" max="15628" width="7.7109375" style="64" customWidth="1"/>
    <col min="15629" max="15629" width="4.7109375" style="64" customWidth="1"/>
    <col min="15630" max="15633" width="5.7109375" style="64" customWidth="1"/>
    <col min="15634" max="15634" width="4.7109375" style="64" customWidth="1"/>
    <col min="15635" max="15635" width="7.28515625" style="64" customWidth="1"/>
    <col min="15636" max="15638" width="8.7109375" style="64" customWidth="1"/>
    <col min="15639" max="15640" width="5.7109375" style="64" bestFit="1" customWidth="1"/>
    <col min="15641" max="15641" width="6.28515625" style="64" bestFit="1" customWidth="1"/>
    <col min="15642" max="15643" width="5.5703125" style="64" bestFit="1" customWidth="1"/>
    <col min="15644" max="15872" width="5.140625" style="64"/>
    <col min="15873" max="15874" width="4.7109375" style="64" customWidth="1"/>
    <col min="15875" max="15875" width="12.28515625" style="64" customWidth="1"/>
    <col min="15876" max="15877" width="5.7109375" style="64" customWidth="1"/>
    <col min="15878" max="15878" width="6.7109375" style="64" customWidth="1"/>
    <col min="15879" max="15879" width="5.7109375" style="64" customWidth="1"/>
    <col min="15880" max="15880" width="7.7109375" style="64" customWidth="1"/>
    <col min="15881" max="15881" width="4.7109375" style="64" customWidth="1"/>
    <col min="15882" max="15883" width="5.7109375" style="64" customWidth="1"/>
    <col min="15884" max="15884" width="7.7109375" style="64" customWidth="1"/>
    <col min="15885" max="15885" width="4.7109375" style="64" customWidth="1"/>
    <col min="15886" max="15889" width="5.7109375" style="64" customWidth="1"/>
    <col min="15890" max="15890" width="4.7109375" style="64" customWidth="1"/>
    <col min="15891" max="15891" width="7.28515625" style="64" customWidth="1"/>
    <col min="15892" max="15894" width="8.7109375" style="64" customWidth="1"/>
    <col min="15895" max="15896" width="5.7109375" style="64" bestFit="1" customWidth="1"/>
    <col min="15897" max="15897" width="6.28515625" style="64" bestFit="1" customWidth="1"/>
    <col min="15898" max="15899" width="5.5703125" style="64" bestFit="1" customWidth="1"/>
    <col min="15900" max="16128" width="5.140625" style="64"/>
    <col min="16129" max="16130" width="4.7109375" style="64" customWidth="1"/>
    <col min="16131" max="16131" width="12.28515625" style="64" customWidth="1"/>
    <col min="16132" max="16133" width="5.7109375" style="64" customWidth="1"/>
    <col min="16134" max="16134" width="6.7109375" style="64" customWidth="1"/>
    <col min="16135" max="16135" width="5.7109375" style="64" customWidth="1"/>
    <col min="16136" max="16136" width="7.7109375" style="64" customWidth="1"/>
    <col min="16137" max="16137" width="4.7109375" style="64" customWidth="1"/>
    <col min="16138" max="16139" width="5.7109375" style="64" customWidth="1"/>
    <col min="16140" max="16140" width="7.7109375" style="64" customWidth="1"/>
    <col min="16141" max="16141" width="4.7109375" style="64" customWidth="1"/>
    <col min="16142" max="16145" width="5.7109375" style="64" customWidth="1"/>
    <col min="16146" max="16146" width="4.7109375" style="64" customWidth="1"/>
    <col min="16147" max="16147" width="7.28515625" style="64" customWidth="1"/>
    <col min="16148" max="16150" width="8.7109375" style="64" customWidth="1"/>
    <col min="16151" max="16152" width="5.7109375" style="64" bestFit="1" customWidth="1"/>
    <col min="16153" max="16153" width="6.28515625" style="64" bestFit="1" customWidth="1"/>
    <col min="16154" max="16155" width="5.5703125" style="64" bestFit="1" customWidth="1"/>
    <col min="16156" max="16384" width="5.140625" style="64"/>
  </cols>
  <sheetData>
    <row r="1" spans="1:22" ht="99.75" customHeight="1" x14ac:dyDescent="0.2"/>
    <row r="2" spans="1:22" ht="15" x14ac:dyDescent="0.2">
      <c r="A2" s="64" t="s">
        <v>359</v>
      </c>
      <c r="T2" s="350" t="s">
        <v>360</v>
      </c>
      <c r="U2" s="351"/>
      <c r="V2" s="351"/>
    </row>
    <row r="3" spans="1:22" ht="15.75" customHeight="1" x14ac:dyDescent="0.2">
      <c r="B3" s="54" t="s">
        <v>361</v>
      </c>
      <c r="T3" s="352" t="s">
        <v>362</v>
      </c>
      <c r="U3" s="353" t="s">
        <v>363</v>
      </c>
      <c r="V3" s="353" t="s">
        <v>364</v>
      </c>
    </row>
    <row r="4" spans="1:22" ht="15.75" customHeight="1" x14ac:dyDescent="0.2">
      <c r="B4" s="54" t="s">
        <v>365</v>
      </c>
      <c r="C4" s="54"/>
      <c r="T4" s="399">
        <v>0.05</v>
      </c>
      <c r="U4" s="354">
        <v>1.08</v>
      </c>
      <c r="V4" s="354">
        <v>2.09</v>
      </c>
    </row>
    <row r="5" spans="1:22" ht="15.75" customHeight="1" x14ac:dyDescent="0.2">
      <c r="B5" s="54" t="s">
        <v>366</v>
      </c>
      <c r="C5" s="54"/>
      <c r="T5" s="400">
        <f>T4+0.01</f>
        <v>6.0000000000000005E-2</v>
      </c>
      <c r="U5" s="353">
        <f>$U$4+($U$9-$U$4)*0.2</f>
        <v>1.1040000000000001</v>
      </c>
      <c r="V5" s="353">
        <f>$V$4+($V$9-$V$4)*0.2</f>
        <v>2.1040000000000001</v>
      </c>
    </row>
    <row r="6" spans="1:22" ht="15.75" customHeight="1" x14ac:dyDescent="0.2">
      <c r="B6" s="64" t="s">
        <v>367</v>
      </c>
      <c r="C6" s="54"/>
      <c r="T6" s="400">
        <f t="shared" ref="T6:T29" si="0">T5+0.01</f>
        <v>7.0000000000000007E-2</v>
      </c>
      <c r="U6" s="353">
        <f>$U$4+($U$9-$U$4)*0.4</f>
        <v>1.1280000000000001</v>
      </c>
      <c r="V6" s="353">
        <f>$V$4+($V$9-$V$4)*0.4</f>
        <v>2.1179999999999999</v>
      </c>
    </row>
    <row r="7" spans="1:22" ht="15" x14ac:dyDescent="0.2">
      <c r="A7" s="64" t="s">
        <v>368</v>
      </c>
      <c r="B7" s="54"/>
      <c r="C7" s="54"/>
      <c r="T7" s="400">
        <f t="shared" si="0"/>
        <v>0.08</v>
      </c>
      <c r="U7" s="353">
        <f>$U$4+($U$9-$U$4)*0.6</f>
        <v>1.1519999999999999</v>
      </c>
      <c r="V7" s="353">
        <f>$V$4+($V$9-$V$4)*0.6</f>
        <v>2.1320000000000001</v>
      </c>
    </row>
    <row r="8" spans="1:22" ht="15" x14ac:dyDescent="0.2">
      <c r="B8" s="54" t="s">
        <v>369</v>
      </c>
      <c r="C8" s="54"/>
      <c r="T8" s="400">
        <f t="shared" si="0"/>
        <v>0.09</v>
      </c>
      <c r="U8" s="353">
        <f>$U$4+($U$9-$U$4)*0.8</f>
        <v>1.1759999999999999</v>
      </c>
      <c r="V8" s="353">
        <f>$V$4+($V$9-$V$4)*0.8</f>
        <v>2.1459999999999999</v>
      </c>
    </row>
    <row r="9" spans="1:22" ht="15" x14ac:dyDescent="0.2">
      <c r="B9" s="54"/>
      <c r="C9" s="54"/>
      <c r="T9" s="399">
        <f t="shared" si="0"/>
        <v>9.9999999999999992E-2</v>
      </c>
      <c r="U9" s="354">
        <v>1.2</v>
      </c>
      <c r="V9" s="354">
        <v>2.16</v>
      </c>
    </row>
    <row r="10" spans="1:22" ht="15" x14ac:dyDescent="0.2">
      <c r="A10" s="64" t="s">
        <v>370</v>
      </c>
      <c r="B10" s="54"/>
      <c r="C10" s="54"/>
      <c r="T10" s="400">
        <f t="shared" si="0"/>
        <v>0.10999999999999999</v>
      </c>
      <c r="U10" s="353">
        <f>$U$9+($U$14-$U$9)*0.2</f>
        <v>1.234</v>
      </c>
      <c r="V10" s="353">
        <f>$V$9+($V$14-$V$9)*0.2</f>
        <v>2.1640000000000001</v>
      </c>
    </row>
    <row r="11" spans="1:22" s="61" customFormat="1" ht="15" x14ac:dyDescent="0.2">
      <c r="A11" s="64" t="s">
        <v>371</v>
      </c>
      <c r="D11" s="62"/>
      <c r="E11" s="65"/>
      <c r="J11" s="62"/>
      <c r="K11" s="66"/>
      <c r="T11" s="400">
        <f t="shared" si="0"/>
        <v>0.11999999999999998</v>
      </c>
      <c r="U11" s="353">
        <f>$U$9+($U$14-$U$9)*0.4</f>
        <v>1.268</v>
      </c>
      <c r="V11" s="353">
        <f>$V$9+($V$14-$V$9)*0.4</f>
        <v>2.1680000000000001</v>
      </c>
    </row>
    <row r="12" spans="1:22" s="61" customFormat="1" ht="15" x14ac:dyDescent="0.2">
      <c r="D12" s="67" t="s">
        <v>344</v>
      </c>
      <c r="E12" s="397">
        <v>0.85</v>
      </c>
      <c r="F12" s="64" t="s">
        <v>51</v>
      </c>
      <c r="J12" s="62"/>
      <c r="K12" s="66"/>
      <c r="T12" s="400">
        <f t="shared" si="0"/>
        <v>0.12999999999999998</v>
      </c>
      <c r="U12" s="353">
        <f>$U$9+($U$14-$U$9)*0.6</f>
        <v>1.302</v>
      </c>
      <c r="V12" s="353">
        <f>$V$9+($V$14-$V$9)*0.6</f>
        <v>2.1720000000000002</v>
      </c>
    </row>
    <row r="13" spans="1:22" ht="15.75" x14ac:dyDescent="0.2">
      <c r="D13" s="67" t="s">
        <v>372</v>
      </c>
      <c r="E13" s="68">
        <v>0.6</v>
      </c>
      <c r="F13" s="64" t="s">
        <v>51</v>
      </c>
      <c r="J13" s="67" t="s">
        <v>373</v>
      </c>
      <c r="K13" s="69">
        <f>PI()*E13</f>
        <v>1.8849555921538759</v>
      </c>
      <c r="L13" s="64" t="s">
        <v>51</v>
      </c>
      <c r="T13" s="400">
        <f t="shared" si="0"/>
        <v>0.13999999999999999</v>
      </c>
      <c r="U13" s="353">
        <f>$U$9+($U$14-$U$9)*0.8</f>
        <v>1.3360000000000001</v>
      </c>
      <c r="V13" s="353">
        <f>$V$9+($V$14-$V$9)*0.8</f>
        <v>2.1760000000000002</v>
      </c>
    </row>
    <row r="14" spans="1:22" ht="15.75" x14ac:dyDescent="0.2">
      <c r="D14" s="67" t="s">
        <v>374</v>
      </c>
      <c r="E14" s="68">
        <v>0.6</v>
      </c>
      <c r="F14" s="64" t="s">
        <v>51</v>
      </c>
      <c r="J14" s="67" t="s">
        <v>375</v>
      </c>
      <c r="K14" s="69">
        <f>PI()*E14^2/4</f>
        <v>0.28274333882308139</v>
      </c>
      <c r="L14" s="64" t="s">
        <v>376</v>
      </c>
      <c r="T14" s="399">
        <f t="shared" si="0"/>
        <v>0.15</v>
      </c>
      <c r="U14" s="354">
        <v>1.37</v>
      </c>
      <c r="V14" s="354">
        <v>2.1800000000000002</v>
      </c>
    </row>
    <row r="15" spans="1:22" ht="15" x14ac:dyDescent="0.2">
      <c r="D15" s="67" t="s">
        <v>377</v>
      </c>
      <c r="E15" s="68">
        <v>4.74</v>
      </c>
      <c r="F15" s="64" t="s">
        <v>51</v>
      </c>
      <c r="T15" s="400">
        <f t="shared" si="0"/>
        <v>0.16</v>
      </c>
      <c r="U15" s="353">
        <f>$U$14+($U$19-$U$14)*0.2</f>
        <v>1.4180000000000001</v>
      </c>
      <c r="V15" s="353">
        <f>$V$14+($V$19-$V$14)*0.2</f>
        <v>2.17</v>
      </c>
    </row>
    <row r="16" spans="1:22" ht="15" x14ac:dyDescent="0.2">
      <c r="D16" s="67" t="s">
        <v>378</v>
      </c>
      <c r="E16" s="93">
        <v>-51.220000000000006</v>
      </c>
      <c r="F16" s="64" t="s">
        <v>51</v>
      </c>
      <c r="J16" s="67" t="s">
        <v>379</v>
      </c>
      <c r="K16" s="86">
        <f>K18-E16</f>
        <v>54.930000000000007</v>
      </c>
      <c r="L16" s="64" t="s">
        <v>51</v>
      </c>
      <c r="T16" s="400">
        <f t="shared" si="0"/>
        <v>0.17</v>
      </c>
      <c r="U16" s="353">
        <f>$U$14+($U$19-$U$14)*0.4</f>
        <v>1.4660000000000002</v>
      </c>
      <c r="V16" s="353">
        <f>$V$14+($V$19-$V$14)*0.4</f>
        <v>2.16</v>
      </c>
    </row>
    <row r="17" spans="1:22" ht="15" x14ac:dyDescent="0.2">
      <c r="D17" s="67"/>
      <c r="T17" s="400">
        <f t="shared" si="0"/>
        <v>0.18000000000000002</v>
      </c>
      <c r="U17" s="353">
        <f>$U$14+($U$19-$U$14)*0.6</f>
        <v>1.514</v>
      </c>
      <c r="V17" s="353">
        <f>$V$14+($V$19-$V$14)*0.6</f>
        <v>2.15</v>
      </c>
    </row>
    <row r="18" spans="1:22" ht="15" x14ac:dyDescent="0.2">
      <c r="E18" s="67" t="s">
        <v>93</v>
      </c>
      <c r="F18" s="55" t="s">
        <v>450</v>
      </c>
      <c r="J18" s="62" t="s">
        <v>94</v>
      </c>
      <c r="K18" s="71">
        <v>3.71</v>
      </c>
      <c r="L18" s="64" t="s">
        <v>51</v>
      </c>
      <c r="T18" s="400">
        <f t="shared" si="0"/>
        <v>0.19000000000000003</v>
      </c>
      <c r="U18" s="353">
        <f>$U$14+($U$19-$U$14)*0.8</f>
        <v>1.5620000000000001</v>
      </c>
      <c r="V18" s="353">
        <f>$V$14+($V$19-$V$14)*0.8</f>
        <v>2.14</v>
      </c>
    </row>
    <row r="19" spans="1:22" ht="15" x14ac:dyDescent="0.2">
      <c r="A19" s="57" t="s">
        <v>380</v>
      </c>
      <c r="F19" s="70"/>
      <c r="T19" s="399">
        <f t="shared" si="0"/>
        <v>0.20000000000000004</v>
      </c>
      <c r="U19" s="354">
        <v>1.61</v>
      </c>
      <c r="V19" s="354">
        <v>2.13</v>
      </c>
    </row>
    <row r="20" spans="1:22" ht="15.75" customHeight="1" x14ac:dyDescent="0.2">
      <c r="A20" s="430" t="s">
        <v>381</v>
      </c>
      <c r="B20" s="430"/>
      <c r="C20" s="344" t="s">
        <v>382</v>
      </c>
      <c r="D20" s="432" t="s">
        <v>383</v>
      </c>
      <c r="E20" s="433"/>
      <c r="F20" s="430" t="s">
        <v>384</v>
      </c>
      <c r="G20" s="430"/>
      <c r="H20" s="430" t="s">
        <v>385</v>
      </c>
      <c r="I20" s="430"/>
      <c r="J20" s="430"/>
      <c r="K20" s="434" t="s">
        <v>386</v>
      </c>
      <c r="L20" s="434"/>
      <c r="M20" s="435"/>
      <c r="N20" s="355"/>
      <c r="O20" s="73"/>
      <c r="P20" s="73"/>
      <c r="Q20" s="74"/>
      <c r="R20" s="74"/>
      <c r="S20" s="74"/>
      <c r="T20" s="400">
        <f t="shared" si="0"/>
        <v>0.21000000000000005</v>
      </c>
      <c r="U20" s="353">
        <f>$U$19+($U$24-$U$19)*0.2</f>
        <v>1.6740000000000002</v>
      </c>
      <c r="V20" s="353">
        <f>$V$19+($V$24-$V$19)*0.2</f>
        <v>2.11</v>
      </c>
    </row>
    <row r="21" spans="1:22" ht="15.75" x14ac:dyDescent="0.2">
      <c r="A21" s="431"/>
      <c r="B21" s="431"/>
      <c r="C21" s="345" t="s">
        <v>50</v>
      </c>
      <c r="D21" s="436" t="s">
        <v>50</v>
      </c>
      <c r="E21" s="436"/>
      <c r="F21" s="436" t="s">
        <v>54</v>
      </c>
      <c r="G21" s="436"/>
      <c r="H21" s="436" t="s">
        <v>55</v>
      </c>
      <c r="I21" s="436"/>
      <c r="J21" s="436"/>
      <c r="K21" s="434"/>
      <c r="L21" s="434"/>
      <c r="M21" s="435"/>
      <c r="N21" s="355"/>
      <c r="O21" s="74"/>
      <c r="P21" s="74"/>
      <c r="Q21" s="74"/>
      <c r="R21" s="74"/>
      <c r="S21" s="74"/>
      <c r="T21" s="400">
        <f t="shared" si="0"/>
        <v>0.22000000000000006</v>
      </c>
      <c r="U21" s="353">
        <f>$U$19+($U$24-$U$19)*0.4</f>
        <v>1.738</v>
      </c>
      <c r="V21" s="353">
        <f>$V$19+($V$24-$V$19)*0.4</f>
        <v>2.09</v>
      </c>
    </row>
    <row r="22" spans="1:22" ht="15" x14ac:dyDescent="0.2">
      <c r="A22" s="427" t="s">
        <v>339</v>
      </c>
      <c r="B22" s="428"/>
      <c r="C22" s="75">
        <v>3.5</v>
      </c>
      <c r="D22" s="418"/>
      <c r="E22" s="419"/>
      <c r="F22" s="420">
        <f>IF(AND(C21&gt;$E$16,C22&lt;$E$16)=TRUE,C21-$E$16,IF(AND(C21&lt;$E$16,C22&lt;$E$16)=TRUE,0,IF($F$37&lt;C22,0,IF(F21=0,$F$37-C22,D22))))</f>
        <v>0</v>
      </c>
      <c r="G22" s="421"/>
      <c r="H22" s="420">
        <f>IFERROR(IF($E$13&gt;$E$12,IF(VLOOKUP(A22,InPutSolidPhisicalP!$A$3:$E$17,5,FALSE)="黏性土、粉土",ROUND(VLOOKUP(A22,InPutSolidPhisicalP!$A$3:$E$17,2,FALSE)*(0.8/$E$13)^(1/5),3),ROUND(VLOOKUP(A22,InPutSolidPhisicalP!$A$3:$E$17,2,FALSE)*(0.8/$E$13)^(1/3),3)),VLOOKUP(A22,InPutSolidPhisicalP!$A$3:$E$17,2,FALSE)),0)</f>
        <v>0</v>
      </c>
      <c r="I22" s="422"/>
      <c r="J22" s="421"/>
      <c r="K22" s="423">
        <f t="shared" ref="K22:K34" si="1">$K$13*F22*H22</f>
        <v>0</v>
      </c>
      <c r="L22" s="424"/>
      <c r="M22" s="424"/>
      <c r="N22" s="356"/>
      <c r="P22" s="76"/>
      <c r="Q22" s="76"/>
      <c r="R22" s="77"/>
      <c r="S22" s="76"/>
      <c r="T22" s="400">
        <f t="shared" si="0"/>
        <v>0.23000000000000007</v>
      </c>
      <c r="U22" s="353">
        <f>$U$19+($U$24-$U$19)*0.6</f>
        <v>1.802</v>
      </c>
      <c r="V22" s="353">
        <f>$V$19+($V$24-$V$19)*0.6</f>
        <v>2.0699999999999998</v>
      </c>
    </row>
    <row r="23" spans="1:22" ht="15" x14ac:dyDescent="0.2">
      <c r="A23" s="427" t="s">
        <v>123</v>
      </c>
      <c r="B23" s="428"/>
      <c r="C23" s="75">
        <v>1.68</v>
      </c>
      <c r="D23" s="418">
        <f t="shared" ref="D23" si="2">IF(C22-C23&lt;=0,,C22-C23)</f>
        <v>1.82</v>
      </c>
      <c r="E23" s="419"/>
      <c r="F23" s="420">
        <f>IF(AND(C22&gt;$E$16,C23&lt;$E$16)=TRUE,C22-$E$16,IF(AND(C22&lt;$E$16,C23&lt;$E$16)=TRUE,0,IF($F$37&lt;C23,0,IF(F22=0,$F$37-C23,D23))))</f>
        <v>0</v>
      </c>
      <c r="G23" s="421"/>
      <c r="H23" s="420">
        <f>IFERROR(IF($E$13&gt;$E$12,IF(VLOOKUP(A23,InPutSolidPhisicalP!$A$3:$E$17,5,FALSE)="黏性土、粉土",ROUND(VLOOKUP(A23,InPutSolidPhisicalP!$A$3:$E$17,2,FALSE)*(0.8/$E$13)^(1/5),3),ROUND(VLOOKUP(A23,InPutSolidPhisicalP!$A$3:$E$17,2,FALSE)*(0.8/$E$13)^(1/3),3)),VLOOKUP(A23,InPutSolidPhisicalP!$A$3:$E$17,2,FALSE)),0)</f>
        <v>0</v>
      </c>
      <c r="I23" s="422"/>
      <c r="J23" s="421"/>
      <c r="K23" s="423">
        <f t="shared" si="1"/>
        <v>0</v>
      </c>
      <c r="L23" s="424"/>
      <c r="M23" s="424"/>
      <c r="N23" s="356"/>
      <c r="P23" s="76"/>
      <c r="Q23" s="76"/>
      <c r="R23" s="77"/>
      <c r="S23" s="76"/>
      <c r="T23" s="400">
        <f t="shared" si="0"/>
        <v>0.24000000000000007</v>
      </c>
      <c r="U23" s="353">
        <f>$U$19+($U$24-$U$19)*0.8</f>
        <v>1.8660000000000001</v>
      </c>
      <c r="V23" s="353">
        <f>$V$19+($V$24-$V$19)*0.8</f>
        <v>2.0499999999999998</v>
      </c>
    </row>
    <row r="24" spans="1:22" ht="15" x14ac:dyDescent="0.2">
      <c r="A24" s="427" t="s">
        <v>124</v>
      </c>
      <c r="B24" s="428"/>
      <c r="C24" s="75">
        <v>0.02</v>
      </c>
      <c r="D24" s="418">
        <f t="shared" ref="D24:D38" si="3">IF(C23-C24&lt;=0,,C23-C24)</f>
        <v>1.66</v>
      </c>
      <c r="E24" s="419"/>
      <c r="F24" s="420">
        <f>IF(AND(C23&gt;$E$16,C24&lt;$E$16)=TRUE,C23-$E$16,IF(AND(C23&lt;$E$16,C24&lt;$E$16)=TRUE,0,IF($F$39&lt;C24,0,IF(F23=0,$F$39-C24,D24))))</f>
        <v>0</v>
      </c>
      <c r="G24" s="421"/>
      <c r="H24" s="420">
        <f>IFERROR(IF($E$13&gt;$E$12,IF(VLOOKUP(A24,InPutSolidPhisicalP!$A$3:$E$17,5,FALSE)="黏性土、粉土",ROUND(VLOOKUP(A24,InPutSolidPhisicalP!$A$3:$E$17,2,FALSE)*(0.8/$E$13)^(1/5),3),ROUND(VLOOKUP(A24,InPutSolidPhisicalP!$A$3:$E$17,2,FALSE)*(0.8/$E$13)^(1/3),3)),VLOOKUP(A24,InPutSolidPhisicalP!$A$3:$E$17,2,FALSE)),0)</f>
        <v>15</v>
      </c>
      <c r="I24" s="422"/>
      <c r="J24" s="421"/>
      <c r="K24" s="423">
        <f t="shared" si="1"/>
        <v>0</v>
      </c>
      <c r="L24" s="424"/>
      <c r="M24" s="424"/>
      <c r="N24" s="356"/>
      <c r="P24" s="76"/>
      <c r="Q24" s="76"/>
      <c r="R24" s="77"/>
      <c r="S24" s="76"/>
      <c r="T24" s="399">
        <f t="shared" si="0"/>
        <v>0.25000000000000006</v>
      </c>
      <c r="U24" s="354">
        <v>1.93</v>
      </c>
      <c r="V24" s="354">
        <v>2.0299999999999998</v>
      </c>
    </row>
    <row r="25" spans="1:22" ht="15" x14ac:dyDescent="0.2">
      <c r="A25" s="427" t="s">
        <v>125</v>
      </c>
      <c r="B25" s="428"/>
      <c r="C25" s="75">
        <v>-6.22</v>
      </c>
      <c r="D25" s="418">
        <f t="shared" si="3"/>
        <v>6.2399999999999993</v>
      </c>
      <c r="E25" s="419"/>
      <c r="F25" s="420">
        <f t="shared" ref="F25:F38" si="4">IF(AND(C24&gt;$E$16,C25&lt;$E$16)=TRUE,C24-$E$16,IF(AND(C24&lt;$E$16,C25&lt;$E$16)=TRUE,0,IF($F$39&lt;C25,0,IF(F24=0,$F$39-C25,D25))))</f>
        <v>0</v>
      </c>
      <c r="G25" s="421"/>
      <c r="H25" s="420">
        <f>IFERROR(IF($E$13&gt;$E$12,IF(VLOOKUP(A25,InPutSolidPhisicalP!$A$3:$E$17,5,FALSE)="黏性土、粉土",ROUND(VLOOKUP(A25,InPutSolidPhisicalP!$A$3:$E$17,2,FALSE)*(0.8/$E$13)^(1/5),3),ROUND(VLOOKUP(A25,InPutSolidPhisicalP!$A$3:$E$17,2,FALSE)*(0.8/$E$13)^(1/3),3)),VLOOKUP(A25,InPutSolidPhisicalP!$A$3:$E$17,2,FALSE)),0)</f>
        <v>15</v>
      </c>
      <c r="I25" s="422"/>
      <c r="J25" s="421"/>
      <c r="K25" s="423">
        <f t="shared" si="1"/>
        <v>0</v>
      </c>
      <c r="L25" s="424"/>
      <c r="M25" s="424"/>
      <c r="N25" s="356"/>
      <c r="P25" s="76"/>
      <c r="Q25" s="76"/>
      <c r="R25" s="77"/>
      <c r="S25" s="76"/>
      <c r="T25" s="400">
        <f t="shared" si="0"/>
        <v>0.26000000000000006</v>
      </c>
      <c r="U25" s="353">
        <f>$U$24+($U$29-$U$24)*0.2</f>
        <v>2.012</v>
      </c>
      <c r="V25" s="353">
        <f>$V$24+($V$29-$V$24)*0.2</f>
        <v>1.9999999999999998</v>
      </c>
    </row>
    <row r="26" spans="1:22" ht="15" x14ac:dyDescent="0.2">
      <c r="A26" s="427" t="s">
        <v>133</v>
      </c>
      <c r="B26" s="428"/>
      <c r="C26" s="75">
        <v>-14.92</v>
      </c>
      <c r="D26" s="418">
        <f t="shared" si="3"/>
        <v>8.6999999999999993</v>
      </c>
      <c r="E26" s="419"/>
      <c r="F26" s="420">
        <f t="shared" si="4"/>
        <v>0</v>
      </c>
      <c r="G26" s="421"/>
      <c r="H26" s="420">
        <f>IFERROR(IF($E$13&gt;$E$12,IF(VLOOKUP(A26,InPutSolidPhisicalP!$A$3:$E$17,5,FALSE)="黏性土、粉土",ROUND(VLOOKUP(A26,InPutSolidPhisicalP!$A$3:$E$17,2,FALSE)*(0.8/$E$13)^(1/5),3),ROUND(VLOOKUP(A26,InPutSolidPhisicalP!$A$3:$E$17,2,FALSE)*(0.8/$E$13)^(1/3),3)),VLOOKUP(A26,InPutSolidPhisicalP!$A$3:$E$17,2,FALSE)),0)</f>
        <v>20</v>
      </c>
      <c r="I26" s="422"/>
      <c r="J26" s="421"/>
      <c r="K26" s="423">
        <f t="shared" si="1"/>
        <v>0</v>
      </c>
      <c r="L26" s="424"/>
      <c r="M26" s="424"/>
      <c r="N26" s="356"/>
      <c r="P26" s="76"/>
      <c r="Q26" s="76"/>
      <c r="R26" s="77"/>
      <c r="S26" s="76"/>
      <c r="T26" s="400">
        <f t="shared" si="0"/>
        <v>0.27000000000000007</v>
      </c>
      <c r="U26" s="353">
        <f>$U$24+($U$29-$U$24)*0.4</f>
        <v>2.0939999999999999</v>
      </c>
      <c r="V26" s="353">
        <f>$V$24+($V$29-$V$24)*0.4</f>
        <v>1.9699999999999998</v>
      </c>
    </row>
    <row r="27" spans="1:22" ht="15" x14ac:dyDescent="0.2">
      <c r="A27" s="427" t="s">
        <v>135</v>
      </c>
      <c r="B27" s="428"/>
      <c r="C27" s="75">
        <v>-18.420000000000002</v>
      </c>
      <c r="D27" s="418">
        <f t="shared" si="3"/>
        <v>3.5000000000000018</v>
      </c>
      <c r="E27" s="419"/>
      <c r="F27" s="420">
        <f t="shared" si="4"/>
        <v>3.0600000000000005</v>
      </c>
      <c r="G27" s="421"/>
      <c r="H27" s="420">
        <f>IFERROR(IF($E$13&gt;$E$12,IF(VLOOKUP(A27,InPutSolidPhisicalP!$A$3:$E$17,5,FALSE)="黏性土、粉土",ROUND(VLOOKUP(A27,InPutSolidPhisicalP!$A$3:$E$17,2,FALSE)*(0.8/$E$13)^(1/5),3),ROUND(VLOOKUP(A27,InPutSolidPhisicalP!$A$3:$E$17,2,FALSE)*(0.8/$E$13)^(1/3),3)),VLOOKUP(A27,InPutSolidPhisicalP!$A$3:$E$17,2,FALSE)),0)</f>
        <v>30</v>
      </c>
      <c r="I27" s="422"/>
      <c r="J27" s="421"/>
      <c r="K27" s="423">
        <f t="shared" si="1"/>
        <v>173.03892335972583</v>
      </c>
      <c r="L27" s="424"/>
      <c r="M27" s="424"/>
      <c r="N27" s="356"/>
      <c r="P27" s="76"/>
      <c r="Q27" s="76"/>
      <c r="R27" s="77"/>
      <c r="S27" s="76"/>
      <c r="T27" s="400">
        <f t="shared" si="0"/>
        <v>0.28000000000000008</v>
      </c>
      <c r="U27" s="353">
        <f>$U$24+($U$29-$U$24)*0.6</f>
        <v>2.1759999999999997</v>
      </c>
      <c r="V27" s="353">
        <f>$V$24+($V$29-$V$24)*0.6</f>
        <v>1.94</v>
      </c>
    </row>
    <row r="28" spans="1:22" ht="15" x14ac:dyDescent="0.2">
      <c r="A28" s="427" t="s">
        <v>126</v>
      </c>
      <c r="B28" s="428"/>
      <c r="C28" s="75">
        <v>-24.52</v>
      </c>
      <c r="D28" s="418">
        <f t="shared" si="3"/>
        <v>6.0999999999999979</v>
      </c>
      <c r="E28" s="419"/>
      <c r="F28" s="420">
        <f t="shared" si="4"/>
        <v>6.0999999999999979</v>
      </c>
      <c r="G28" s="421"/>
      <c r="H28" s="420">
        <f>IFERROR(IF($E$13&gt;$E$12,IF(VLOOKUP(A28,InPutSolidPhisicalP!$A$3:$E$17,5,FALSE)="黏性土、粉土",ROUND(VLOOKUP(A28,InPutSolidPhisicalP!$A$3:$E$17,2,FALSE)*(0.8/$E$13)^(1/5),3),ROUND(VLOOKUP(A28,InPutSolidPhisicalP!$A$3:$E$17,2,FALSE)*(0.8/$E$13)^(1/3),3)),VLOOKUP(A28,InPutSolidPhisicalP!$A$3:$E$17,2,FALSE)),0)</f>
        <v>40</v>
      </c>
      <c r="I28" s="422"/>
      <c r="J28" s="421"/>
      <c r="K28" s="423">
        <f t="shared" si="1"/>
        <v>459.92916448554553</v>
      </c>
      <c r="L28" s="424"/>
      <c r="M28" s="429"/>
      <c r="N28" s="356"/>
      <c r="P28" s="76"/>
      <c r="Q28" s="76"/>
      <c r="R28" s="77"/>
      <c r="S28" s="76"/>
      <c r="T28" s="400">
        <f t="shared" si="0"/>
        <v>0.29000000000000009</v>
      </c>
      <c r="U28" s="353">
        <f>$U$24+($U$29-$U$24)*0.8</f>
        <v>2.258</v>
      </c>
      <c r="V28" s="353">
        <f>$V$24+($V$29-$V$24)*0.8</f>
        <v>1.91</v>
      </c>
    </row>
    <row r="29" spans="1:22" ht="15" x14ac:dyDescent="0.2">
      <c r="A29" s="427" t="s">
        <v>129</v>
      </c>
      <c r="B29" s="428"/>
      <c r="C29" s="75">
        <v>-34.82</v>
      </c>
      <c r="D29" s="418">
        <f t="shared" si="3"/>
        <v>10.3</v>
      </c>
      <c r="E29" s="419"/>
      <c r="F29" s="420">
        <f t="shared" si="4"/>
        <v>10.3</v>
      </c>
      <c r="G29" s="421"/>
      <c r="H29" s="420">
        <f>IFERROR(IF($E$13&gt;$E$12,IF(VLOOKUP(A29,InPutSolidPhisicalP!$A$3:$E$17,5,FALSE)="黏性土、粉土",ROUND(VLOOKUP(A29,InPutSolidPhisicalP!$A$3:$E$17,2,FALSE)*(0.8/$E$13)^(1/5),3),ROUND(VLOOKUP(A29,InPutSolidPhisicalP!$A$3:$E$17,2,FALSE)*(0.8/$E$13)^(1/3),3)),VLOOKUP(A29,InPutSolidPhisicalP!$A$3:$E$17,2,FALSE)),0)</f>
        <v>60</v>
      </c>
      <c r="I29" s="422"/>
      <c r="J29" s="421"/>
      <c r="K29" s="423">
        <f t="shared" si="1"/>
        <v>1164.9025559510953</v>
      </c>
      <c r="L29" s="424"/>
      <c r="M29" s="429"/>
      <c r="N29" s="356"/>
      <c r="P29" s="76"/>
      <c r="Q29" s="76"/>
      <c r="R29" s="77"/>
      <c r="S29" s="76"/>
      <c r="T29" s="399">
        <f t="shared" si="0"/>
        <v>0.3000000000000001</v>
      </c>
      <c r="U29" s="354">
        <v>2.34</v>
      </c>
      <c r="V29" s="354">
        <v>1.88</v>
      </c>
    </row>
    <row r="30" spans="1:22" ht="15" x14ac:dyDescent="0.2">
      <c r="A30" s="427" t="s">
        <v>108</v>
      </c>
      <c r="B30" s="428"/>
      <c r="C30" s="75">
        <v>-38.619999999999997</v>
      </c>
      <c r="D30" s="418">
        <f t="shared" si="3"/>
        <v>3.7999999999999972</v>
      </c>
      <c r="E30" s="419"/>
      <c r="F30" s="420">
        <f t="shared" si="4"/>
        <v>3.7999999999999972</v>
      </c>
      <c r="G30" s="421"/>
      <c r="H30" s="420">
        <f>IFERROR(IF($E$13&gt;$E$12,IF(VLOOKUP(A30,InPutSolidPhisicalP!$A$3:$E$17,5,FALSE)="黏性土、粉土",ROUND(VLOOKUP(A30,InPutSolidPhisicalP!$A$3:$E$17,2,FALSE)*(0.8/$E$13)^(1/5),3),ROUND(VLOOKUP(A30,InPutSolidPhisicalP!$A$3:$E$17,2,FALSE)*(0.8/$E$13)^(1/3),3)),VLOOKUP(A30,InPutSolidPhisicalP!$A$3:$E$17,2,FALSE)),0)</f>
        <v>50</v>
      </c>
      <c r="I30" s="422"/>
      <c r="J30" s="421"/>
      <c r="K30" s="423">
        <f t="shared" si="1"/>
        <v>358.14156250923617</v>
      </c>
      <c r="L30" s="424"/>
      <c r="M30" s="429"/>
      <c r="N30" s="356"/>
      <c r="P30" s="76"/>
      <c r="Q30" s="76"/>
      <c r="R30" s="77"/>
      <c r="S30" s="76"/>
      <c r="T30" s="400"/>
      <c r="U30" s="353"/>
      <c r="V30" s="353"/>
    </row>
    <row r="31" spans="1:22" ht="15" x14ac:dyDescent="0.2">
      <c r="A31" s="427" t="s">
        <v>111</v>
      </c>
      <c r="B31" s="428"/>
      <c r="C31" s="75">
        <v>-41.52</v>
      </c>
      <c r="D31" s="418">
        <f t="shared" si="3"/>
        <v>2.9000000000000057</v>
      </c>
      <c r="E31" s="419"/>
      <c r="F31" s="420">
        <f t="shared" si="4"/>
        <v>2.9000000000000057</v>
      </c>
      <c r="G31" s="421"/>
      <c r="H31" s="420">
        <f>IFERROR(IF($E$13&gt;$E$12,IF(VLOOKUP(A31,InPutSolidPhisicalP!$A$3:$E$17,5,FALSE)="黏性土、粉土",ROUND(VLOOKUP(A31,InPutSolidPhisicalP!$A$3:$E$17,2,FALSE)*(0.8/$E$13)^(1/5),3),ROUND(VLOOKUP(A31,InPutSolidPhisicalP!$A$3:$E$17,2,FALSE)*(0.8/$E$13)^(1/3),3)),VLOOKUP(A31,InPutSolidPhisicalP!$A$3:$E$17,2,FALSE)),0)</f>
        <v>55</v>
      </c>
      <c r="I31" s="422"/>
      <c r="J31" s="421"/>
      <c r="K31" s="423">
        <f t="shared" si="1"/>
        <v>300.65041694854381</v>
      </c>
      <c r="L31" s="424"/>
      <c r="M31" s="429"/>
      <c r="N31" s="356"/>
      <c r="P31" s="76"/>
      <c r="Q31" s="76"/>
      <c r="R31" s="77"/>
      <c r="S31" s="76"/>
      <c r="T31" s="400"/>
      <c r="U31" s="353"/>
      <c r="V31" s="353"/>
    </row>
    <row r="32" spans="1:22" ht="15" x14ac:dyDescent="0.2">
      <c r="A32" s="427" t="s">
        <v>127</v>
      </c>
      <c r="B32" s="428"/>
      <c r="C32" s="75">
        <v>-44.52</v>
      </c>
      <c r="D32" s="418">
        <f t="shared" si="3"/>
        <v>3</v>
      </c>
      <c r="E32" s="419"/>
      <c r="F32" s="420">
        <f t="shared" si="4"/>
        <v>3</v>
      </c>
      <c r="G32" s="421"/>
      <c r="H32" s="420">
        <f>IFERROR(IF($E$13&gt;$E$12,IF(VLOOKUP(A32,InPutSolidPhisicalP!$A$3:$E$17,5,FALSE)="黏性土、粉土",ROUND(VLOOKUP(A32,InPutSolidPhisicalP!$A$3:$E$17,2,FALSE)*(0.8/$E$13)^(1/5),3),ROUND(VLOOKUP(A32,InPutSolidPhisicalP!$A$3:$E$17,2,FALSE)*(0.8/$E$13)^(1/3),3)),VLOOKUP(A32,InPutSolidPhisicalP!$A$3:$E$17,2,FALSE)),0)</f>
        <v>65</v>
      </c>
      <c r="I32" s="422"/>
      <c r="J32" s="421"/>
      <c r="K32" s="423">
        <f t="shared" si="1"/>
        <v>367.5663404700058</v>
      </c>
      <c r="L32" s="424"/>
      <c r="M32" s="429"/>
      <c r="N32" s="356"/>
      <c r="P32" s="76"/>
      <c r="Q32" s="76"/>
      <c r="R32" s="77"/>
      <c r="S32" s="76"/>
      <c r="T32" s="400"/>
      <c r="U32" s="353"/>
      <c r="V32" s="353"/>
    </row>
    <row r="33" spans="1:27" ht="15" x14ac:dyDescent="0.2">
      <c r="A33" s="427" t="s">
        <v>128</v>
      </c>
      <c r="B33" s="428"/>
      <c r="C33" s="75">
        <v>-61.62</v>
      </c>
      <c r="D33" s="418">
        <f t="shared" si="3"/>
        <v>17.099999999999994</v>
      </c>
      <c r="E33" s="419"/>
      <c r="F33" s="420">
        <f t="shared" si="4"/>
        <v>6.7000000000000028</v>
      </c>
      <c r="G33" s="421"/>
      <c r="H33" s="420">
        <f>IFERROR(IF($E$13&gt;$E$12,IF(VLOOKUP(A33,InPutSolidPhisicalP!$A$3:$E$17,5,FALSE)="黏性土、粉土",ROUND(VLOOKUP(A33,InPutSolidPhisicalP!$A$3:$E$17,2,FALSE)*(0.8/$E$13)^(1/5),3),ROUND(VLOOKUP(A33,InPutSolidPhisicalP!$A$3:$E$17,2,FALSE)*(0.8/$E$13)^(1/3),3)),VLOOKUP(A33,InPutSolidPhisicalP!$A$3:$E$17,2,FALSE)),0)</f>
        <v>55</v>
      </c>
      <c r="I33" s="422"/>
      <c r="J33" s="421"/>
      <c r="K33" s="423">
        <f t="shared" si="1"/>
        <v>694.6061357087035</v>
      </c>
      <c r="L33" s="424"/>
      <c r="M33" s="429"/>
      <c r="N33" s="356"/>
      <c r="P33" s="76"/>
      <c r="Q33" s="76"/>
      <c r="R33" s="77"/>
      <c r="S33" s="76"/>
      <c r="T33" s="400"/>
      <c r="U33" s="353"/>
      <c r="V33" s="353"/>
    </row>
    <row r="34" spans="1:27" x14ac:dyDescent="0.2">
      <c r="A34" s="427" t="s">
        <v>130</v>
      </c>
      <c r="B34" s="428"/>
      <c r="C34" s="75">
        <v>-65.02</v>
      </c>
      <c r="D34" s="418">
        <f t="shared" si="3"/>
        <v>3.3999999999999986</v>
      </c>
      <c r="E34" s="419"/>
      <c r="F34" s="420">
        <f t="shared" si="4"/>
        <v>0</v>
      </c>
      <c r="G34" s="421"/>
      <c r="H34" s="420">
        <f>IFERROR(IF($E$13&gt;$E$12,IF(VLOOKUP(A34,InPutSolidPhisicalP!$A$3:$E$17,5,FALSE)="黏性土、粉土",ROUND(VLOOKUP(A34,InPutSolidPhisicalP!$A$3:$E$17,2,FALSE)*(0.8/$E$13)^(1/5),3),ROUND(VLOOKUP(A34,InPutSolidPhisicalP!$A$3:$E$17,2,FALSE)*(0.8/$E$13)^(1/3),3)),VLOOKUP(A34,InPutSolidPhisicalP!$A$3:$E$17,2,FALSE)),0)</f>
        <v>60</v>
      </c>
      <c r="I34" s="422"/>
      <c r="J34" s="421"/>
      <c r="K34" s="423">
        <f t="shared" si="1"/>
        <v>0</v>
      </c>
      <c r="L34" s="424"/>
      <c r="M34" s="429"/>
      <c r="N34" s="356"/>
      <c r="P34" s="76"/>
      <c r="Q34" s="76"/>
      <c r="R34" s="77"/>
      <c r="S34" s="76"/>
    </row>
    <row r="35" spans="1:27" x14ac:dyDescent="0.2">
      <c r="A35" s="427" t="s">
        <v>131</v>
      </c>
      <c r="B35" s="428"/>
      <c r="C35" s="75">
        <v>-76.02</v>
      </c>
      <c r="D35" s="418">
        <f t="shared" si="3"/>
        <v>11</v>
      </c>
      <c r="E35" s="419"/>
      <c r="F35" s="420">
        <f t="shared" si="4"/>
        <v>0</v>
      </c>
      <c r="G35" s="421"/>
      <c r="H35" s="420">
        <f>IFERROR(IF($E$13&gt;$E$12,IF(VLOOKUP(A35,InPutSolidPhisicalP!$A$3:$E$17,5,FALSE)="黏性土、粉土",ROUND(VLOOKUP(A35,InPutSolidPhisicalP!$A$3:$E$17,2,FALSE)*(0.8/$E$13)^(1/5),3),ROUND(VLOOKUP(A35,InPutSolidPhisicalP!$A$3:$E$17,2,FALSE)*(0.8/$E$13)^(1/3),3)),VLOOKUP(A35,InPutSolidPhisicalP!$A$3:$E$17,2,FALSE)),0)</f>
        <v>80</v>
      </c>
      <c r="I35" s="422"/>
      <c r="J35" s="421"/>
      <c r="K35" s="423">
        <f>$K$13*F35*H35</f>
        <v>0</v>
      </c>
      <c r="L35" s="424"/>
      <c r="M35" s="429"/>
      <c r="N35" s="356"/>
      <c r="P35" s="76"/>
      <c r="Q35" s="76"/>
      <c r="R35" s="77"/>
      <c r="S35" s="76"/>
    </row>
    <row r="36" spans="1:27" x14ac:dyDescent="0.2">
      <c r="A36" s="427"/>
      <c r="B36" s="428"/>
      <c r="C36" s="75"/>
      <c r="D36" s="418">
        <f t="shared" si="3"/>
        <v>0</v>
      </c>
      <c r="E36" s="419"/>
      <c r="F36" s="420">
        <f t="shared" si="4"/>
        <v>0</v>
      </c>
      <c r="G36" s="421"/>
      <c r="H36" s="420">
        <f>IFERROR(IF($E$13&gt;$E$12,IF(VLOOKUP(A36,InPutSolidPhisicalP!$A$3:$E$17,5,FALSE)="黏性土、粉土",ROUND(VLOOKUP(A36,InPutSolidPhisicalP!$A$3:$E$17,2,FALSE)*(0.8/$E$13)^(1/5),3),ROUND(VLOOKUP(A36,InPutSolidPhisicalP!$A$3:$E$17,2,FALSE)*(0.8/$E$13)^(1/3),3)),VLOOKUP(A36,InPutSolidPhisicalP!$A$3:$E$17,2,FALSE)),0)</f>
        <v>0</v>
      </c>
      <c r="I36" s="422"/>
      <c r="J36" s="421"/>
      <c r="K36" s="423"/>
      <c r="L36" s="424"/>
      <c r="M36" s="424"/>
      <c r="N36" s="356"/>
      <c r="P36" s="76"/>
      <c r="Q36" s="76"/>
      <c r="R36" s="77"/>
      <c r="S36" s="76"/>
    </row>
    <row r="37" spans="1:27" x14ac:dyDescent="0.2">
      <c r="A37" s="417"/>
      <c r="B37" s="417"/>
      <c r="C37" s="75"/>
      <c r="D37" s="418">
        <f t="shared" si="3"/>
        <v>0</v>
      </c>
      <c r="E37" s="419"/>
      <c r="F37" s="420">
        <f t="shared" si="4"/>
        <v>0</v>
      </c>
      <c r="G37" s="421"/>
      <c r="H37" s="420">
        <f>IFERROR(IF($E$13&gt;$E$12,IF(VLOOKUP(A37,InPutSolidPhisicalP!$A$3:$E$17,5,FALSE)="黏性土、粉土",ROUND(VLOOKUP(A37,InPutSolidPhisicalP!$A$3:$E$17,2,FALSE)*(0.8/$E$13)^(1/5),3),ROUND(VLOOKUP(A37,InPutSolidPhisicalP!$A$3:$E$17,2,FALSE)*(0.8/$E$13)^(1/3),3)),VLOOKUP(A37,InPutSolidPhisicalP!$A$3:$E$17,2,FALSE)),0)</f>
        <v>0</v>
      </c>
      <c r="I37" s="422"/>
      <c r="J37" s="421"/>
      <c r="K37" s="423"/>
      <c r="L37" s="424"/>
      <c r="M37" s="424"/>
      <c r="N37" s="356"/>
      <c r="P37" s="76"/>
      <c r="Q37" s="76"/>
      <c r="R37" s="77"/>
      <c r="S37" s="76"/>
    </row>
    <row r="38" spans="1:27" x14ac:dyDescent="0.2">
      <c r="A38" s="417"/>
      <c r="B38" s="417"/>
      <c r="C38" s="346"/>
      <c r="D38" s="418">
        <f t="shared" si="3"/>
        <v>0</v>
      </c>
      <c r="E38" s="419"/>
      <c r="F38" s="420">
        <f t="shared" si="4"/>
        <v>0</v>
      </c>
      <c r="G38" s="421"/>
      <c r="H38" s="420">
        <f>IFERROR(IF($E$13&gt;$E$12,IF(VLOOKUP(A38,InPutSolidPhisicalP!$A$3:$E$17,5,FALSE)="黏性土、粉土",ROUND(VLOOKUP(A38,InPutSolidPhisicalP!$A$3:$E$17,2,FALSE)*(0.8/$E$13)^(1/5),3),ROUND(VLOOKUP(A38,InPutSolidPhisicalP!$A$3:$E$17,2,FALSE)*(0.8/$E$13)^(1/3),3)),VLOOKUP(A38,InPutSolidPhisicalP!$A$3:$E$17,2,FALSE)),0)</f>
        <v>0</v>
      </c>
      <c r="I38" s="422"/>
      <c r="J38" s="421"/>
      <c r="K38" s="423"/>
      <c r="L38" s="424"/>
      <c r="M38" s="424"/>
      <c r="N38" s="356"/>
      <c r="O38" s="76"/>
      <c r="P38" s="76"/>
      <c r="Q38" s="77"/>
      <c r="R38" s="77"/>
      <c r="S38" s="77"/>
    </row>
    <row r="39" spans="1:27" x14ac:dyDescent="0.2">
      <c r="E39" s="67" t="s">
        <v>387</v>
      </c>
      <c r="F39" s="71">
        <v>-15.360000000000001</v>
      </c>
      <c r="G39" s="64" t="s">
        <v>51</v>
      </c>
      <c r="J39" s="67" t="s">
        <v>388</v>
      </c>
      <c r="K39" s="425">
        <f>SUM(K22:M38)</f>
        <v>3518.8350994328557</v>
      </c>
      <c r="L39" s="426"/>
      <c r="M39" s="426"/>
      <c r="N39" s="73"/>
      <c r="O39" s="73"/>
      <c r="P39" s="73"/>
      <c r="Q39" s="77"/>
      <c r="R39" s="77"/>
      <c r="S39" s="77"/>
    </row>
    <row r="40" spans="1:27" x14ac:dyDescent="0.2">
      <c r="E40" s="67" t="s">
        <v>378</v>
      </c>
      <c r="F40" s="64">
        <f>F39-F41</f>
        <v>-51.220000000000006</v>
      </c>
      <c r="G40" s="64" t="s">
        <v>51</v>
      </c>
      <c r="H40" s="63" t="str">
        <f>IF(F40=E16, "OK!", "Not OK!")</f>
        <v>OK!</v>
      </c>
    </row>
    <row r="41" spans="1:27" x14ac:dyDescent="0.2">
      <c r="E41" s="67" t="s">
        <v>389</v>
      </c>
      <c r="F41" s="64">
        <f>SUM(F22:G38)</f>
        <v>35.860000000000007</v>
      </c>
      <c r="G41" s="64" t="s">
        <v>51</v>
      </c>
    </row>
    <row r="42" spans="1:27" ht="15.75" customHeight="1" x14ac:dyDescent="0.2">
      <c r="E42" s="67" t="s">
        <v>390</v>
      </c>
      <c r="F42" s="88">
        <f>K39</f>
        <v>3518.8350994328557</v>
      </c>
      <c r="G42" s="64" t="s">
        <v>64</v>
      </c>
      <c r="H42" s="79"/>
      <c r="I42" s="80"/>
    </row>
    <row r="44" spans="1:27" x14ac:dyDescent="0.2">
      <c r="A44" s="57" t="s">
        <v>391</v>
      </c>
    </row>
    <row r="45" spans="1:27" x14ac:dyDescent="0.2">
      <c r="B45" s="57"/>
      <c r="C45" s="57"/>
      <c r="G45" s="67" t="s">
        <v>392</v>
      </c>
      <c r="H45" s="357" t="s">
        <v>449</v>
      </c>
      <c r="I45" s="358"/>
    </row>
    <row r="46" spans="1:27" ht="15.75" x14ac:dyDescent="0.2">
      <c r="G46" s="67" t="s">
        <v>393</v>
      </c>
      <c r="H46" s="359">
        <f>VLOOKUP(H45,InPutSolidPhisicalP!A3:E17,3,FALSE)</f>
        <v>1500</v>
      </c>
      <c r="I46" s="64" t="s">
        <v>394</v>
      </c>
    </row>
    <row r="47" spans="1:27" ht="15.75" x14ac:dyDescent="0.2">
      <c r="G47" s="67" t="s">
        <v>395</v>
      </c>
      <c r="H47" s="80">
        <f>H46</f>
        <v>1500</v>
      </c>
      <c r="I47" s="80" t="s">
        <v>65</v>
      </c>
      <c r="J47" s="360">
        <f>K14</f>
        <v>0.28274333882308139</v>
      </c>
      <c r="K47" s="80"/>
      <c r="L47" s="80"/>
      <c r="M47" s="80"/>
      <c r="N47" s="361"/>
      <c r="O47" s="361"/>
    </row>
    <row r="48" spans="1:27" x14ac:dyDescent="0.2">
      <c r="G48" s="348" t="s">
        <v>66</v>
      </c>
      <c r="H48" s="412">
        <f>H47*J47</f>
        <v>424.11500823462211</v>
      </c>
      <c r="I48" s="412"/>
      <c r="J48" s="64" t="s">
        <v>64</v>
      </c>
      <c r="S48" s="73"/>
      <c r="T48" s="76"/>
      <c r="U48" s="362"/>
      <c r="V48" s="362"/>
      <c r="W48" s="73"/>
      <c r="X48" s="73"/>
      <c r="Y48" s="73"/>
      <c r="Z48" s="73"/>
      <c r="AA48" s="73"/>
    </row>
    <row r="49" spans="1:27" x14ac:dyDescent="0.2">
      <c r="S49" s="73"/>
      <c r="T49" s="108"/>
      <c r="U49" s="363"/>
      <c r="V49" s="363"/>
      <c r="W49" s="364"/>
      <c r="X49" s="364"/>
      <c r="Y49" s="364"/>
      <c r="Z49" s="364"/>
      <c r="AA49" s="364"/>
    </row>
    <row r="50" spans="1:27" x14ac:dyDescent="0.2">
      <c r="A50" s="57" t="s">
        <v>396</v>
      </c>
      <c r="S50" s="73"/>
      <c r="T50" s="108"/>
      <c r="U50" s="363"/>
      <c r="V50" s="363"/>
      <c r="W50" s="364"/>
      <c r="X50" s="364"/>
      <c r="Y50" s="364"/>
      <c r="Z50" s="364"/>
      <c r="AA50" s="364"/>
    </row>
    <row r="51" spans="1:27" ht="15.75" x14ac:dyDescent="0.2">
      <c r="A51" s="57"/>
      <c r="G51" s="64" t="s">
        <v>397</v>
      </c>
      <c r="H51" s="398">
        <f>ROUND(H48/(H48+F42),2)</f>
        <v>0.11</v>
      </c>
      <c r="S51" s="73"/>
      <c r="T51" s="108"/>
      <c r="U51" s="363"/>
      <c r="V51" s="363"/>
      <c r="W51" s="364"/>
      <c r="X51" s="364"/>
      <c r="Y51" s="364"/>
      <c r="Z51" s="364"/>
      <c r="AA51" s="364"/>
    </row>
    <row r="52" spans="1:27" ht="15.75" x14ac:dyDescent="0.2">
      <c r="A52" s="57"/>
      <c r="G52" s="365" t="s">
        <v>398</v>
      </c>
      <c r="H52" s="461">
        <f>IF(H51&lt;0.05,1,VLOOKUP(ROUND(H51,2),T3:V33,2))</f>
        <v>1.234</v>
      </c>
      <c r="S52" s="73"/>
      <c r="T52" s="76"/>
      <c r="U52" s="362"/>
      <c r="V52" s="362"/>
      <c r="W52" s="73"/>
      <c r="X52" s="73"/>
      <c r="Y52" s="73"/>
      <c r="Z52" s="73"/>
      <c r="AA52" s="73"/>
    </row>
    <row r="53" spans="1:27" ht="15.75" x14ac:dyDescent="0.2">
      <c r="A53" s="57"/>
      <c r="G53" s="365" t="s">
        <v>399</v>
      </c>
      <c r="H53" s="349">
        <f>IF(H51&lt;0.05,1,LOOKUP(H51,T4:T33,V4:V33))</f>
        <v>2.1640000000000001</v>
      </c>
      <c r="S53" s="73"/>
      <c r="T53" s="76"/>
      <c r="U53" s="362"/>
      <c r="V53" s="362"/>
      <c r="W53" s="73"/>
      <c r="X53" s="73"/>
      <c r="Y53" s="73"/>
      <c r="Z53" s="73"/>
      <c r="AA53" s="73"/>
    </row>
    <row r="54" spans="1:27" x14ac:dyDescent="0.2">
      <c r="G54" s="67" t="s">
        <v>400</v>
      </c>
      <c r="H54" s="361">
        <f>F42</f>
        <v>3518.8350994328557</v>
      </c>
      <c r="I54" s="366" t="s">
        <v>401</v>
      </c>
      <c r="J54" s="367">
        <f>H53</f>
        <v>2.1640000000000001</v>
      </c>
      <c r="K54" s="347" t="s">
        <v>67</v>
      </c>
      <c r="L54" s="347">
        <f>H48</f>
        <v>424.11500823462211</v>
      </c>
      <c r="M54" s="367" t="s">
        <v>401</v>
      </c>
      <c r="N54" s="80">
        <f>H52</f>
        <v>1.234</v>
      </c>
    </row>
    <row r="55" spans="1:27" x14ac:dyDescent="0.2">
      <c r="G55" s="67" t="s">
        <v>66</v>
      </c>
      <c r="H55" s="413">
        <f>H54/J54+L54/N54</f>
        <v>1969.7703209285382</v>
      </c>
      <c r="I55" s="413"/>
      <c r="J55" s="57" t="s">
        <v>64</v>
      </c>
      <c r="T55" s="70" t="s">
        <v>402</v>
      </c>
    </row>
    <row r="56" spans="1:27" x14ac:dyDescent="0.2">
      <c r="G56" s="67" t="s">
        <v>437</v>
      </c>
      <c r="H56" s="414">
        <f>H55*K56</f>
        <v>2363.7243851142457</v>
      </c>
      <c r="I56" s="414"/>
      <c r="J56" s="57" t="s">
        <v>64</v>
      </c>
      <c r="K56" s="114">
        <v>1.2</v>
      </c>
      <c r="T56" s="368" t="s">
        <v>403</v>
      </c>
      <c r="U56" s="369">
        <v>600</v>
      </c>
      <c r="V56" s="369">
        <v>700</v>
      </c>
      <c r="W56" s="370">
        <v>800</v>
      </c>
      <c r="X56" s="370">
        <v>900</v>
      </c>
      <c r="Y56" s="370">
        <v>1000</v>
      </c>
    </row>
    <row r="57" spans="1:27" x14ac:dyDescent="0.2">
      <c r="G57" s="67" t="s">
        <v>404</v>
      </c>
      <c r="H57" s="415">
        <f>FLOOR(H56,K57)</f>
        <v>2360</v>
      </c>
      <c r="I57" s="416"/>
      <c r="J57" s="58" t="s">
        <v>64</v>
      </c>
      <c r="K57" s="114">
        <v>10</v>
      </c>
      <c r="T57" s="368" t="s">
        <v>405</v>
      </c>
      <c r="U57" s="371">
        <v>1.2</v>
      </c>
      <c r="V57" s="371">
        <v>1.6</v>
      </c>
      <c r="W57" s="372">
        <v>2</v>
      </c>
      <c r="X57" s="372">
        <v>2.5</v>
      </c>
      <c r="Y57" s="372">
        <v>3</v>
      </c>
    </row>
  </sheetData>
  <mergeCells count="98">
    <mergeCell ref="A20:B21"/>
    <mergeCell ref="D20:E20"/>
    <mergeCell ref="F20:G20"/>
    <mergeCell ref="H20:J20"/>
    <mergeCell ref="K20:M21"/>
    <mergeCell ref="D21:E21"/>
    <mergeCell ref="F21:G21"/>
    <mergeCell ref="H21:J21"/>
    <mergeCell ref="A23:B23"/>
    <mergeCell ref="D23:E23"/>
    <mergeCell ref="F23:G23"/>
    <mergeCell ref="H23:J23"/>
    <mergeCell ref="K23:M23"/>
    <mergeCell ref="A22:B22"/>
    <mergeCell ref="D22:E22"/>
    <mergeCell ref="F22:G22"/>
    <mergeCell ref="H22:J22"/>
    <mergeCell ref="K22:M22"/>
    <mergeCell ref="A25:B25"/>
    <mergeCell ref="D25:E25"/>
    <mergeCell ref="F25:G25"/>
    <mergeCell ref="H25:J25"/>
    <mergeCell ref="K25:M25"/>
    <mergeCell ref="A24:B24"/>
    <mergeCell ref="D24:E24"/>
    <mergeCell ref="F24:G24"/>
    <mergeCell ref="H24:J24"/>
    <mergeCell ref="K24:M24"/>
    <mergeCell ref="A27:B27"/>
    <mergeCell ref="D27:E27"/>
    <mergeCell ref="F27:G27"/>
    <mergeCell ref="H27:J27"/>
    <mergeCell ref="K27:M27"/>
    <mergeCell ref="A26:B26"/>
    <mergeCell ref="D26:E26"/>
    <mergeCell ref="F26:G26"/>
    <mergeCell ref="H26:J26"/>
    <mergeCell ref="K26:M26"/>
    <mergeCell ref="A29:B29"/>
    <mergeCell ref="D29:E29"/>
    <mergeCell ref="F29:G29"/>
    <mergeCell ref="H29:J29"/>
    <mergeCell ref="K29:M29"/>
    <mergeCell ref="A28:B28"/>
    <mergeCell ref="D28:E28"/>
    <mergeCell ref="F28:G28"/>
    <mergeCell ref="H28:J28"/>
    <mergeCell ref="K28:M28"/>
    <mergeCell ref="A31:B31"/>
    <mergeCell ref="D31:E31"/>
    <mergeCell ref="F31:G31"/>
    <mergeCell ref="H31:J31"/>
    <mergeCell ref="K31:M31"/>
    <mergeCell ref="A30:B30"/>
    <mergeCell ref="D30:E30"/>
    <mergeCell ref="F30:G30"/>
    <mergeCell ref="H30:J30"/>
    <mergeCell ref="K30:M30"/>
    <mergeCell ref="A33:B33"/>
    <mergeCell ref="D33:E33"/>
    <mergeCell ref="F33:G33"/>
    <mergeCell ref="H33:J33"/>
    <mergeCell ref="K33:M33"/>
    <mergeCell ref="A32:B32"/>
    <mergeCell ref="D32:E32"/>
    <mergeCell ref="F32:G32"/>
    <mergeCell ref="H32:J32"/>
    <mergeCell ref="K32:M32"/>
    <mergeCell ref="A35:B35"/>
    <mergeCell ref="D35:E35"/>
    <mergeCell ref="F35:G35"/>
    <mergeCell ref="H35:J35"/>
    <mergeCell ref="K35:M35"/>
    <mergeCell ref="A34:B34"/>
    <mergeCell ref="D34:E34"/>
    <mergeCell ref="F34:G34"/>
    <mergeCell ref="H34:J34"/>
    <mergeCell ref="K34:M34"/>
    <mergeCell ref="K38:M38"/>
    <mergeCell ref="K39:M39"/>
    <mergeCell ref="A36:B36"/>
    <mergeCell ref="D36:E36"/>
    <mergeCell ref="F36:G36"/>
    <mergeCell ref="H36:J36"/>
    <mergeCell ref="K36:M36"/>
    <mergeCell ref="A37:B37"/>
    <mergeCell ref="D37:E37"/>
    <mergeCell ref="F37:G37"/>
    <mergeCell ref="H37:J37"/>
    <mergeCell ref="K37:M37"/>
    <mergeCell ref="H48:I48"/>
    <mergeCell ref="H55:I55"/>
    <mergeCell ref="H56:I56"/>
    <mergeCell ref="H57:I57"/>
    <mergeCell ref="A38:B38"/>
    <mergeCell ref="D38:E38"/>
    <mergeCell ref="F38:G38"/>
    <mergeCell ref="H38:J38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5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Z50"/>
  <sheetViews>
    <sheetView view="pageBreakPreview" topLeftCell="A4" zoomScaleNormal="100" zoomScaleSheetLayoutView="100" workbookViewId="0">
      <selection activeCell="A25" sqref="A25:B25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346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102" t="s">
        <v>134</v>
      </c>
      <c r="B7" s="54"/>
      <c r="C7" s="54"/>
    </row>
    <row r="8" spans="1:26" s="61" customFormat="1" x14ac:dyDescent="0.2">
      <c r="A8" s="64" t="s">
        <v>358</v>
      </c>
      <c r="D8" s="62"/>
      <c r="E8" s="65"/>
      <c r="J8" s="62"/>
      <c r="K8" s="66"/>
    </row>
    <row r="9" spans="1:26" x14ac:dyDescent="0.2">
      <c r="D9" s="67" t="s">
        <v>344</v>
      </c>
      <c r="E9" s="289">
        <v>0.85</v>
      </c>
      <c r="F9" s="64" t="s">
        <v>345</v>
      </c>
    </row>
    <row r="10" spans="1:26" ht="15.75" x14ac:dyDescent="0.2">
      <c r="D10" s="67" t="s">
        <v>343</v>
      </c>
      <c r="E10" s="68">
        <v>0.6</v>
      </c>
      <c r="F10" s="64" t="s">
        <v>51</v>
      </c>
      <c r="J10" s="67" t="s">
        <v>79</v>
      </c>
      <c r="K10" s="69">
        <f>PI()*E10</f>
        <v>1.8849555921538759</v>
      </c>
      <c r="L10" s="64" t="s">
        <v>51</v>
      </c>
    </row>
    <row r="11" spans="1:26" x14ac:dyDescent="0.2">
      <c r="D11" s="67" t="s">
        <v>52</v>
      </c>
      <c r="E11" s="100">
        <v>4.74</v>
      </c>
      <c r="F11" s="64" t="s">
        <v>51</v>
      </c>
    </row>
    <row r="12" spans="1:26" x14ac:dyDescent="0.2">
      <c r="D12" s="56" t="s">
        <v>89</v>
      </c>
      <c r="E12" s="93">
        <v>-51.220000000000006</v>
      </c>
      <c r="F12" s="64" t="s">
        <v>51</v>
      </c>
      <c r="J12" s="56" t="s">
        <v>90</v>
      </c>
      <c r="K12" s="86">
        <f>K14-E12</f>
        <v>54.720000000000006</v>
      </c>
      <c r="L12" s="64" t="s">
        <v>51</v>
      </c>
    </row>
    <row r="14" spans="1:26" x14ac:dyDescent="0.2">
      <c r="E14" s="67" t="s">
        <v>93</v>
      </c>
      <c r="F14" s="55" t="s">
        <v>450</v>
      </c>
      <c r="J14" s="62" t="s">
        <v>94</v>
      </c>
      <c r="K14" s="71">
        <f>C18</f>
        <v>3.5</v>
      </c>
      <c r="L14" s="64" t="s">
        <v>51</v>
      </c>
      <c r="T14" s="73"/>
    </row>
    <row r="15" spans="1:26" x14ac:dyDescent="0.2">
      <c r="A15" s="57" t="s">
        <v>57</v>
      </c>
      <c r="F15" s="70"/>
      <c r="T15" s="73"/>
    </row>
    <row r="16" spans="1:26" ht="15.75" customHeight="1" x14ac:dyDescent="0.2">
      <c r="A16" s="430" t="s">
        <v>58</v>
      </c>
      <c r="B16" s="430"/>
      <c r="C16" s="72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6"/>
    </row>
    <row r="17" spans="1:20" ht="15.75" x14ac:dyDescent="0.2">
      <c r="A17" s="431"/>
      <c r="B17" s="431"/>
      <c r="C17" s="5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6"/>
    </row>
    <row r="18" spans="1:20" x14ac:dyDescent="0.2">
      <c r="A18" s="445" t="s">
        <v>339</v>
      </c>
      <c r="B18" s="417"/>
      <c r="C18" s="75">
        <v>3.5</v>
      </c>
      <c r="D18" s="418"/>
      <c r="E18" s="419"/>
      <c r="F18" s="420">
        <f t="shared" ref="F18" si="0">IF(AND(C17&gt;$E$12,C18&lt;$E$12)=TRUE,C17-$E$12,IF(AND(C17&lt;$E$12,C18&lt;$E$12)=TRUE,0,IF($F$37&lt;C18,0,IF(F17=0,$F$37-C18,D18))))</f>
        <v>0</v>
      </c>
      <c r="G18" s="421"/>
      <c r="H18" s="420">
        <f>IFERROR(VLOOKUP(A18,InPutSolidPhisicalP!$A$3:$E$17,2,FALSE),0)</f>
        <v>0</v>
      </c>
      <c r="I18" s="422"/>
      <c r="J18" s="421"/>
      <c r="K18" s="420">
        <f>IFERROR(IF($E$10&gt;$E$9,IF(VLOOKUP(A18,InPutSolidPhisicalP!$A$3:$E$17,5,FALSE)="黏性土、粉土",ROUND(VLOOKUP(A18,InPutSolidPhisicalP!$A$3:$E$17,4,FALSE)*(0.8/$E$10)^(1/5),3),ROUND(VLOOKUP(A18,InPutSolidPhisicalP!$A$3:$E$17,4,FALSE)*(0.8/$E$10)^(1/3),3)),VLOOKUP(A18,InPutSolidPhisicalP!$A$3:$E$17,4,FALSE)),0)</f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 t="s">
        <v>123</v>
      </c>
      <c r="B19" s="417"/>
      <c r="C19" s="75">
        <v>1.68</v>
      </c>
      <c r="D19" s="418">
        <f t="shared" ref="D19:D31" si="1">IF(C18-C19&lt;=0,,C18-C19)</f>
        <v>1.82</v>
      </c>
      <c r="E19" s="419"/>
      <c r="F19" s="420">
        <f t="shared" ref="F19:F36" si="2">IF(AND(C18&gt;$E$12,C19&lt;$E$12)=TRUE,C18-$E$12,IF(AND(C18&lt;$E$12,C19&lt;$E$12)=TRUE,0,IF($F$37&lt;C19,0,IF(F18=0,$F$37-C19,D19))))</f>
        <v>0</v>
      </c>
      <c r="G19" s="421"/>
      <c r="H19" s="420">
        <f>IFERROR(VLOOKUP(A19,InPutSolidPhisicalP!$A$3:$E$17,2,FALSE),0)</f>
        <v>0</v>
      </c>
      <c r="I19" s="422"/>
      <c r="J19" s="421"/>
      <c r="K19" s="420">
        <f>IFERROR(IF($E$10&gt;$E$9,IF(VLOOKUP(A19,InPutSolidPhisicalP!$A$3:$E$17,5,FALSE)="黏性土、粉土",ROUND(VLOOKUP(A19,InPutSolidPhisicalP!$A$3:$E$17,4,FALSE)*(0.8/$E$10)^(1/5),3),ROUND(VLOOKUP(A19,InPutSolidPhisicalP!$A$3:$E$17,4,FALSE)*(0.8/$E$10)^(1/3),3)),VLOOKUP(A19,InPutSolidPhisicalP!$A$3:$E$17,4,FALSE)),0)</f>
        <v>0</v>
      </c>
      <c r="L19" s="422"/>
      <c r="M19" s="421"/>
      <c r="N19" s="418">
        <f t="shared" ref="N19:N24" si="3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124</v>
      </c>
      <c r="B20" s="417"/>
      <c r="C20" s="75">
        <v>0.02</v>
      </c>
      <c r="D20" s="418">
        <f t="shared" si="1"/>
        <v>1.66</v>
      </c>
      <c r="E20" s="419"/>
      <c r="F20" s="420">
        <f t="shared" si="2"/>
        <v>0</v>
      </c>
      <c r="G20" s="421"/>
      <c r="H20" s="420">
        <f>IFERROR(VLOOKUP(A20,InPutSolidPhisicalP!$A$3:$E$17,2,FALSE),0)</f>
        <v>15</v>
      </c>
      <c r="I20" s="422"/>
      <c r="J20" s="421"/>
      <c r="K20" s="420">
        <f>IFERROR(IF($E$10&gt;$E$9,IF(VLOOKUP(A20,InPutSolidPhisicalP!$A$3:$E$17,5,FALSE)="黏性土、粉土",ROUND(VLOOKUP(A20,InPutSolidPhisicalP!$A$3:$E$17,4,FALSE)*(0.8/$E$10)^(1/5),3),ROUND(VLOOKUP(A20,InPutSolidPhisicalP!$A$3:$E$17,4,FALSE)*(0.8/$E$10)^(1/3),3)),VLOOKUP(A20,InPutSolidPhisicalP!$A$3:$E$17,4,FALSE)),0)</f>
        <v>0.7</v>
      </c>
      <c r="L20" s="422"/>
      <c r="M20" s="421"/>
      <c r="N20" s="418">
        <f t="shared" si="3"/>
        <v>0</v>
      </c>
      <c r="O20" s="419"/>
      <c r="P20" s="76"/>
      <c r="R20" s="76"/>
      <c r="S20" s="76"/>
      <c r="T20" s="76"/>
    </row>
    <row r="21" spans="1:20" x14ac:dyDescent="0.2">
      <c r="A21" s="417" t="s">
        <v>125</v>
      </c>
      <c r="B21" s="417"/>
      <c r="C21" s="75">
        <v>-6.22</v>
      </c>
      <c r="D21" s="418">
        <f t="shared" si="1"/>
        <v>6.2399999999999993</v>
      </c>
      <c r="E21" s="419"/>
      <c r="F21" s="420">
        <f t="shared" si="2"/>
        <v>0</v>
      </c>
      <c r="G21" s="421"/>
      <c r="H21" s="420">
        <f>IFERROR(VLOOKUP(A21,InPutSolidPhisicalP!$A$3:$E$17,2,FALSE),0)</f>
        <v>15</v>
      </c>
      <c r="I21" s="422"/>
      <c r="J21" s="421"/>
      <c r="K21" s="420">
        <f>IFERROR(IF($E$10&gt;$E$9,IF(VLOOKUP(A21,InPutSolidPhisicalP!$A$3:$E$17,5,FALSE)="黏性土、粉土",ROUND(VLOOKUP(A21,InPutSolidPhisicalP!$A$3:$E$17,4,FALSE)*(0.8/$E$10)^(1/5),3),ROUND(VLOOKUP(A21,InPutSolidPhisicalP!$A$3:$E$17,4,FALSE)*(0.8/$E$10)^(1/3),3)),VLOOKUP(A21,InPutSolidPhisicalP!$A$3:$E$17,4,FALSE)),0)</f>
        <v>0.7</v>
      </c>
      <c r="L21" s="422"/>
      <c r="M21" s="421"/>
      <c r="N21" s="418">
        <f t="shared" si="3"/>
        <v>0</v>
      </c>
      <c r="O21" s="419"/>
      <c r="P21" s="76"/>
      <c r="R21" s="76"/>
      <c r="S21" s="76"/>
      <c r="T21" s="76"/>
    </row>
    <row r="22" spans="1:20" x14ac:dyDescent="0.2">
      <c r="A22" s="417" t="s">
        <v>133</v>
      </c>
      <c r="B22" s="417"/>
      <c r="C22" s="101">
        <v>-14.92</v>
      </c>
      <c r="D22" s="418">
        <f t="shared" si="1"/>
        <v>8.6999999999999993</v>
      </c>
      <c r="E22" s="419"/>
      <c r="F22" s="420">
        <f t="shared" si="2"/>
        <v>0</v>
      </c>
      <c r="G22" s="421"/>
      <c r="H22" s="420">
        <f>IFERROR(VLOOKUP(A22,InPutSolidPhisicalP!$A$3:$E$17,2,FALSE),0)</f>
        <v>20</v>
      </c>
      <c r="I22" s="422"/>
      <c r="J22" s="421"/>
      <c r="K22" s="420">
        <f>IFERROR(IF($E$10&gt;$E$9,IF(VLOOKUP(A22,InPutSolidPhisicalP!$A$3:$E$17,5,FALSE)="黏性土、粉土",ROUND(VLOOKUP(A22,InPutSolidPhisicalP!$A$3:$E$17,4,FALSE)*(0.8/$E$10)^(1/5),3),ROUND(VLOOKUP(A22,InPutSolidPhisicalP!$A$3:$E$17,4,FALSE)*(0.8/$E$10)^(1/3),3)),VLOOKUP(A22,InPutSolidPhisicalP!$A$3:$E$17,4,FALSE)),0)</f>
        <v>0.7</v>
      </c>
      <c r="L22" s="422"/>
      <c r="M22" s="421"/>
      <c r="N22" s="418">
        <f t="shared" si="3"/>
        <v>0</v>
      </c>
      <c r="O22" s="419"/>
      <c r="P22" s="76"/>
      <c r="R22" s="76"/>
      <c r="S22" s="76"/>
      <c r="T22" s="76"/>
    </row>
    <row r="23" spans="1:20" x14ac:dyDescent="0.2">
      <c r="A23" s="417" t="s">
        <v>135</v>
      </c>
      <c r="B23" s="417"/>
      <c r="C23" s="75">
        <v>-18.420000000000002</v>
      </c>
      <c r="D23" s="418">
        <f t="shared" si="1"/>
        <v>3.5000000000000018</v>
      </c>
      <c r="E23" s="419"/>
      <c r="F23" s="420">
        <f t="shared" si="2"/>
        <v>3.0600000000000005</v>
      </c>
      <c r="G23" s="421"/>
      <c r="H23" s="420">
        <f>IFERROR(VLOOKUP(A23,InPutSolidPhisicalP!$A$3:$E$17,2,FALSE),0)</f>
        <v>30</v>
      </c>
      <c r="I23" s="422"/>
      <c r="J23" s="421"/>
      <c r="K23" s="420">
        <f>IFERROR(IF($E$10&gt;$E$9,IF(VLOOKUP(A23,InPutSolidPhisicalP!$A$3:$E$17,5,FALSE)="黏性土、粉土",ROUND(VLOOKUP(A23,InPutSolidPhisicalP!$A$3:$E$17,4,FALSE)*(0.8/$E$10)^(1/5),3),ROUND(VLOOKUP(A23,InPutSolidPhisicalP!$A$3:$E$17,4,FALSE)*(0.8/$E$10)^(1/3),3)),VLOOKUP(A23,InPutSolidPhisicalP!$A$3:$E$17,4,FALSE)),0)</f>
        <v>0.7</v>
      </c>
      <c r="L23" s="422"/>
      <c r="M23" s="421"/>
      <c r="N23" s="418">
        <f>F23*H23*K23</f>
        <v>64.260000000000005</v>
      </c>
      <c r="O23" s="419"/>
      <c r="P23" s="76"/>
      <c r="R23" s="76"/>
      <c r="S23" s="76"/>
      <c r="T23" s="76"/>
    </row>
    <row r="24" spans="1:20" x14ac:dyDescent="0.2">
      <c r="A24" s="417" t="s">
        <v>126</v>
      </c>
      <c r="B24" s="417"/>
      <c r="C24" s="75">
        <v>-24.52</v>
      </c>
      <c r="D24" s="418">
        <f t="shared" si="1"/>
        <v>6.0999999999999979</v>
      </c>
      <c r="E24" s="419"/>
      <c r="F24" s="420">
        <f t="shared" si="2"/>
        <v>6.0999999999999979</v>
      </c>
      <c r="G24" s="421"/>
      <c r="H24" s="420">
        <f>IFERROR(VLOOKUP(A24,InPutSolidPhisicalP!$A$3:$E$17,2,FALSE),0)</f>
        <v>40</v>
      </c>
      <c r="I24" s="422"/>
      <c r="J24" s="421"/>
      <c r="K24" s="420">
        <f>IFERROR(IF($E$10&gt;$E$9,IF(VLOOKUP(A24,InPutSolidPhisicalP!$A$3:$E$17,5,FALSE)="黏性土、粉土",ROUND(VLOOKUP(A24,InPutSolidPhisicalP!$A$3:$E$17,4,FALSE)*(0.8/$E$10)^(1/5),3),ROUND(VLOOKUP(A24,InPutSolidPhisicalP!$A$3:$E$17,4,FALSE)*(0.8/$E$10)^(1/3),3)),VLOOKUP(A24,InPutSolidPhisicalP!$A$3:$E$17,4,FALSE)),0)</f>
        <v>0.65</v>
      </c>
      <c r="L24" s="422"/>
      <c r="M24" s="421"/>
      <c r="N24" s="418">
        <f t="shared" si="3"/>
        <v>158.59999999999994</v>
      </c>
      <c r="O24" s="419"/>
      <c r="P24" s="76"/>
      <c r="R24" s="76"/>
      <c r="S24" s="76"/>
      <c r="T24" s="76"/>
    </row>
    <row r="25" spans="1:20" x14ac:dyDescent="0.2">
      <c r="A25" s="427" t="s">
        <v>129</v>
      </c>
      <c r="B25" s="428"/>
      <c r="C25" s="75">
        <v>-34.82</v>
      </c>
      <c r="D25" s="418">
        <f t="shared" si="1"/>
        <v>10.3</v>
      </c>
      <c r="E25" s="419"/>
      <c r="F25" s="420">
        <f t="shared" si="2"/>
        <v>10.3</v>
      </c>
      <c r="G25" s="421"/>
      <c r="H25" s="420">
        <f>IFERROR(VLOOKUP(A25,InPutSolidPhisicalP!$A$3:$E$17,2,FALSE),0)</f>
        <v>60</v>
      </c>
      <c r="I25" s="422"/>
      <c r="J25" s="421"/>
      <c r="K25" s="420">
        <f>IFERROR(IF($E$10&gt;$E$9,IF(VLOOKUP(A25,InPutSolidPhisicalP!$A$3:$E$17,5,FALSE)="黏性土、粉土",ROUND(VLOOKUP(A25,InPutSolidPhisicalP!$A$3:$E$17,4,FALSE)*(0.8/$E$10)^(1/5),3),ROUND(VLOOKUP(A25,InPutSolidPhisicalP!$A$3:$E$17,4,FALSE)*(0.8/$E$10)^(1/3),3)),VLOOKUP(A25,InPutSolidPhisicalP!$A$3:$E$17,4,FALSE)),0)</f>
        <v>0.65</v>
      </c>
      <c r="L25" s="422"/>
      <c r="M25" s="421"/>
      <c r="N25" s="418">
        <f t="shared" ref="N25:N30" si="4">F25*H25*K25</f>
        <v>401.7</v>
      </c>
      <c r="O25" s="419"/>
      <c r="P25" s="76"/>
      <c r="R25" s="76"/>
      <c r="S25" s="76"/>
      <c r="T25" s="76"/>
    </row>
    <row r="26" spans="1:20" x14ac:dyDescent="0.2">
      <c r="A26" s="427" t="s">
        <v>108</v>
      </c>
      <c r="B26" s="428"/>
      <c r="C26" s="75">
        <v>-38.619999999999997</v>
      </c>
      <c r="D26" s="418">
        <f t="shared" si="1"/>
        <v>3.7999999999999972</v>
      </c>
      <c r="E26" s="419"/>
      <c r="F26" s="420">
        <f t="shared" si="2"/>
        <v>3.7999999999999972</v>
      </c>
      <c r="G26" s="421"/>
      <c r="H26" s="420">
        <f>IFERROR(VLOOKUP(A26,InPutSolidPhisicalP!$A$3:$E$17,2,FALSE),0)</f>
        <v>50</v>
      </c>
      <c r="I26" s="422"/>
      <c r="J26" s="421"/>
      <c r="K26" s="420">
        <f>IFERROR(IF($E$10&gt;$E$9,IF(VLOOKUP(A26,InPutSolidPhisicalP!$A$3:$E$17,5,FALSE)="黏性土、粉土",ROUND(VLOOKUP(A26,InPutSolidPhisicalP!$A$3:$E$17,4,FALSE)*(0.8/$E$10)^(1/5),3),ROUND(VLOOKUP(A26,InPutSolidPhisicalP!$A$3:$E$17,4,FALSE)*(0.8/$E$10)^(1/3),3)),VLOOKUP(A26,InPutSolidPhisicalP!$A$3:$E$17,4,FALSE)),0)</f>
        <v>0.7</v>
      </c>
      <c r="L26" s="422"/>
      <c r="M26" s="421"/>
      <c r="N26" s="418">
        <f t="shared" si="4"/>
        <v>132.99999999999989</v>
      </c>
      <c r="O26" s="419"/>
      <c r="P26" s="76"/>
      <c r="R26" s="76"/>
      <c r="S26" s="76"/>
      <c r="T26" s="76"/>
    </row>
    <row r="27" spans="1:20" x14ac:dyDescent="0.2">
      <c r="A27" s="427" t="s">
        <v>111</v>
      </c>
      <c r="B27" s="428"/>
      <c r="C27" s="75">
        <v>-41.52</v>
      </c>
      <c r="D27" s="418">
        <f t="shared" si="1"/>
        <v>2.9000000000000057</v>
      </c>
      <c r="E27" s="419"/>
      <c r="F27" s="420">
        <f t="shared" si="2"/>
        <v>2.9000000000000057</v>
      </c>
      <c r="G27" s="421"/>
      <c r="H27" s="420">
        <f>IFERROR(VLOOKUP(A27,InPutSolidPhisicalP!$A$3:$E$17,2,FALSE),0)</f>
        <v>55</v>
      </c>
      <c r="I27" s="422"/>
      <c r="J27" s="421"/>
      <c r="K27" s="420">
        <f>IFERROR(IF($E$10&gt;$E$9,IF(VLOOKUP(A27,InPutSolidPhisicalP!$A$3:$E$17,5,FALSE)="黏性土、粉土",ROUND(VLOOKUP(A27,InPutSolidPhisicalP!$A$3:$E$17,4,FALSE)*(0.8/$E$10)^(1/5),3),ROUND(VLOOKUP(A27,InPutSolidPhisicalP!$A$3:$E$17,4,FALSE)*(0.8/$E$10)^(1/3),3)),VLOOKUP(A27,InPutSolidPhisicalP!$A$3:$E$17,4,FALSE)),0)</f>
        <v>0.7</v>
      </c>
      <c r="L27" s="422"/>
      <c r="M27" s="421"/>
      <c r="N27" s="418">
        <f t="shared" si="4"/>
        <v>111.65000000000022</v>
      </c>
      <c r="O27" s="419"/>
      <c r="P27" s="76"/>
      <c r="R27" s="76"/>
      <c r="S27" s="76"/>
      <c r="T27" s="76"/>
    </row>
    <row r="28" spans="1:20" x14ac:dyDescent="0.2">
      <c r="A28" s="427" t="s">
        <v>127</v>
      </c>
      <c r="B28" s="428"/>
      <c r="C28" s="75">
        <v>-44.52</v>
      </c>
      <c r="D28" s="418">
        <f t="shared" si="1"/>
        <v>3</v>
      </c>
      <c r="E28" s="419"/>
      <c r="F28" s="420">
        <f t="shared" si="2"/>
        <v>3</v>
      </c>
      <c r="G28" s="421"/>
      <c r="H28" s="420">
        <f>IFERROR(VLOOKUP(A28,InPutSolidPhisicalP!$A$3:$E$17,2,FALSE),0)</f>
        <v>65</v>
      </c>
      <c r="I28" s="422"/>
      <c r="J28" s="421"/>
      <c r="K28" s="420">
        <f>IFERROR(IF($E$10&gt;$E$9,IF(VLOOKUP(A28,InPutSolidPhisicalP!$A$3:$E$17,5,FALSE)="黏性土、粉土",ROUND(VLOOKUP(A28,InPutSolidPhisicalP!$A$3:$E$17,4,FALSE)*(0.8/$E$10)^(1/5),3),ROUND(VLOOKUP(A28,InPutSolidPhisicalP!$A$3:$E$17,4,FALSE)*(0.8/$E$10)^(1/3),3)),VLOOKUP(A28,InPutSolidPhisicalP!$A$3:$E$17,4,FALSE)),0)</f>
        <v>0.65</v>
      </c>
      <c r="L28" s="422"/>
      <c r="M28" s="421"/>
      <c r="N28" s="418">
        <f t="shared" si="4"/>
        <v>126.75</v>
      </c>
      <c r="O28" s="419"/>
      <c r="P28" s="76"/>
      <c r="R28" s="76"/>
      <c r="S28" s="76"/>
      <c r="T28" s="76"/>
    </row>
    <row r="29" spans="1:20" x14ac:dyDescent="0.2">
      <c r="A29" s="427" t="s">
        <v>128</v>
      </c>
      <c r="B29" s="428"/>
      <c r="C29" s="75">
        <v>-61.62</v>
      </c>
      <c r="D29" s="418">
        <f t="shared" si="1"/>
        <v>17.099999999999994</v>
      </c>
      <c r="E29" s="419"/>
      <c r="F29" s="420">
        <f t="shared" si="2"/>
        <v>6.7000000000000028</v>
      </c>
      <c r="G29" s="421"/>
      <c r="H29" s="420">
        <f>IFERROR(VLOOKUP(A29,InPutSolidPhisicalP!$A$3:$E$17,2,FALSE),0)</f>
        <v>55</v>
      </c>
      <c r="I29" s="422"/>
      <c r="J29" s="421"/>
      <c r="K29" s="420">
        <f>IFERROR(IF($E$10&gt;$E$9,IF(VLOOKUP(A29,InPutSolidPhisicalP!$A$3:$E$17,5,FALSE)="黏性土、粉土",ROUND(VLOOKUP(A29,InPutSolidPhisicalP!$A$3:$E$17,4,FALSE)*(0.8/$E$10)^(1/5),3),ROUND(VLOOKUP(A29,InPutSolidPhisicalP!$A$3:$E$17,4,FALSE)*(0.8/$E$10)^(1/3),3)),VLOOKUP(A29,InPutSolidPhisicalP!$A$3:$E$17,4,FALSE)),0)</f>
        <v>0.7</v>
      </c>
      <c r="L29" s="422"/>
      <c r="M29" s="421"/>
      <c r="N29" s="418">
        <f t="shared" si="4"/>
        <v>257.9500000000001</v>
      </c>
      <c r="O29" s="419"/>
      <c r="P29" s="76"/>
      <c r="R29" s="76"/>
      <c r="S29" s="76"/>
      <c r="T29" s="76"/>
    </row>
    <row r="30" spans="1:20" x14ac:dyDescent="0.2">
      <c r="A30" s="417" t="s">
        <v>130</v>
      </c>
      <c r="B30" s="417"/>
      <c r="C30" s="75">
        <v>-65.02</v>
      </c>
      <c r="D30" s="418">
        <f t="shared" si="1"/>
        <v>3.3999999999999986</v>
      </c>
      <c r="E30" s="419"/>
      <c r="F30" s="420">
        <f t="shared" si="2"/>
        <v>0</v>
      </c>
      <c r="G30" s="421"/>
      <c r="H30" s="420">
        <f>IFERROR(VLOOKUP(A30,InPutSolidPhisicalP!$A$3:$E$17,2,FALSE),0)</f>
        <v>60</v>
      </c>
      <c r="I30" s="422"/>
      <c r="J30" s="421"/>
      <c r="K30" s="420">
        <f>IFERROR(IF($E$10&gt;$E$9,IF(VLOOKUP(A30,InPutSolidPhisicalP!$A$3:$E$17,5,FALSE)="黏性土、粉土",ROUND(VLOOKUP(A30,InPutSolidPhisicalP!$A$3:$E$17,4,FALSE)*(0.8/$E$10)^(1/5),3),ROUND(VLOOKUP(A30,InPutSolidPhisicalP!$A$3:$E$17,4,FALSE)*(0.8/$E$10)^(1/3),3)),VLOOKUP(A30,InPutSolidPhisicalP!$A$3:$E$17,4,FALSE)),0)</f>
        <v>0.65</v>
      </c>
      <c r="L30" s="422"/>
      <c r="M30" s="421"/>
      <c r="N30" s="418">
        <f t="shared" si="4"/>
        <v>0</v>
      </c>
      <c r="O30" s="419"/>
      <c r="P30" s="76"/>
      <c r="R30" s="76"/>
      <c r="S30" s="76"/>
      <c r="T30" s="76"/>
    </row>
    <row r="31" spans="1:20" x14ac:dyDescent="0.2">
      <c r="A31" s="446" t="s">
        <v>131</v>
      </c>
      <c r="B31" s="417"/>
      <c r="C31" s="75">
        <v>-76.02</v>
      </c>
      <c r="D31" s="418">
        <f t="shared" si="1"/>
        <v>11</v>
      </c>
      <c r="E31" s="419"/>
      <c r="F31" s="420">
        <f t="shared" si="2"/>
        <v>0</v>
      </c>
      <c r="G31" s="421"/>
      <c r="H31" s="420">
        <f>IFERROR(VLOOKUP(A31,InPutSolidPhisicalP!$A$3:$E$17,2,FALSE),0)</f>
        <v>80</v>
      </c>
      <c r="I31" s="422"/>
      <c r="J31" s="421"/>
      <c r="K31" s="420">
        <f>IFERROR(IF($E$10&gt;$E$9,IF(VLOOKUP(A31,InPutSolidPhisicalP!$A$3:$E$17,5,FALSE)="黏性土、粉土",ROUND(VLOOKUP(A31,InPutSolidPhisicalP!$A$3:$E$17,4,FALSE)*(0.8/$E$10)^(1/5),3),ROUND(VLOOKUP(A31,InPutSolidPhisicalP!$A$3:$E$17,4,FALSE)*(0.8/$E$10)^(1/3),3)),VLOOKUP(A31,InPutSolidPhisicalP!$A$3:$E$17,4,FALSE)),0)</f>
        <v>0</v>
      </c>
      <c r="L31" s="422"/>
      <c r="M31" s="421"/>
      <c r="N31" s="418">
        <f t="shared" ref="N31:N36" si="5">F31*H31*K31</f>
        <v>0</v>
      </c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>
        <f>IF(C31-C32&lt;=0,,C31-C32)</f>
        <v>0</v>
      </c>
      <c r="E32" s="419"/>
      <c r="F32" s="420">
        <f t="shared" si="2"/>
        <v>0</v>
      </c>
      <c r="G32" s="421"/>
      <c r="H32" s="420">
        <f>IFERROR(VLOOKUP(A32,InPutSolidPhisicalP!$A$3:$E$17,2,FALSE),0)</f>
        <v>0</v>
      </c>
      <c r="I32" s="422"/>
      <c r="J32" s="421"/>
      <c r="K32" s="420">
        <f>IFERROR(IF($E$10&gt;$E$9,IF(VLOOKUP(A32,InPutSolidPhisicalP!$A$3:$E$17,5,FALSE)="黏性土、粉土",ROUND(VLOOKUP(A32,InPutSolidPhisicalP!$A$3:$E$17,4,FALSE)*(0.8/$E$10)^(1/5),3),ROUND(VLOOKUP(A32,InPutSolidPhisicalP!$A$3:$E$17,4,FALSE)*(0.8/$E$10)^(1/3),3)),VLOOKUP(A32,InPutSolidPhisicalP!$A$3:$E$17,4,FALSE)),0)</f>
        <v>0</v>
      </c>
      <c r="L32" s="422"/>
      <c r="M32" s="421"/>
      <c r="N32" s="418">
        <f t="shared" si="5"/>
        <v>0</v>
      </c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>
        <f t="shared" ref="D33:D36" si="6">IF(C32-C33&lt;=0,,C32-C33)</f>
        <v>0</v>
      </c>
      <c r="E33" s="419"/>
      <c r="F33" s="420">
        <f t="shared" si="2"/>
        <v>0</v>
      </c>
      <c r="G33" s="421"/>
      <c r="H33" s="420">
        <f>IFERROR(VLOOKUP(A33,InPutSolidPhisicalP!$A$3:$E$17,2,FALSE),0)</f>
        <v>0</v>
      </c>
      <c r="I33" s="422"/>
      <c r="J33" s="421"/>
      <c r="K33" s="420">
        <f>IFERROR(IF($E$10&gt;$E$9,IF(VLOOKUP(A33,InPutSolidPhisicalP!$A$3:$E$17,5,FALSE)="黏性土、粉土",ROUND(VLOOKUP(A33,InPutSolidPhisicalP!$A$3:$E$17,4,FALSE)*(0.8/$E$10)^(1/5),3),ROUND(VLOOKUP(A33,InPutSolidPhisicalP!$A$3:$E$17,4,FALSE)*(0.8/$E$10)^(1/3),3)),VLOOKUP(A33,InPutSolidPhisicalP!$A$3:$E$17,4,FALSE)),0)</f>
        <v>0</v>
      </c>
      <c r="L33" s="422"/>
      <c r="M33" s="421"/>
      <c r="N33" s="418">
        <f t="shared" si="5"/>
        <v>0</v>
      </c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>
        <f t="shared" si="6"/>
        <v>0</v>
      </c>
      <c r="E34" s="419"/>
      <c r="F34" s="420">
        <f t="shared" si="2"/>
        <v>0</v>
      </c>
      <c r="G34" s="421"/>
      <c r="H34" s="420">
        <f>IFERROR(VLOOKUP(A34,InPutSolidPhisicalP!$A$3:$E$17,2,FALSE),0)</f>
        <v>0</v>
      </c>
      <c r="I34" s="422"/>
      <c r="J34" s="421"/>
      <c r="K34" s="420">
        <f>IFERROR(IF($E$10&gt;$E$9,IF(VLOOKUP(A34,InPutSolidPhisicalP!$A$3:$E$17,5,FALSE)="黏性土、粉土",ROUND(VLOOKUP(A34,InPutSolidPhisicalP!$A$3:$E$17,4,FALSE)*(0.8/$E$10)^(1/5),3),ROUND(VLOOKUP(A34,InPutSolidPhisicalP!$A$3:$E$17,4,FALSE)*(0.8/$E$10)^(1/3),3)),VLOOKUP(A34,InPutSolidPhisicalP!$A$3:$E$17,4,FALSE)),0)</f>
        <v>0</v>
      </c>
      <c r="L34" s="422"/>
      <c r="M34" s="421"/>
      <c r="N34" s="418">
        <f t="shared" si="5"/>
        <v>0</v>
      </c>
      <c r="O34" s="419"/>
      <c r="P34" s="76"/>
      <c r="R34" s="76"/>
      <c r="S34" s="76"/>
      <c r="T34" s="73"/>
    </row>
    <row r="35" spans="1:20" x14ac:dyDescent="0.2">
      <c r="A35" s="446"/>
      <c r="B35" s="417"/>
      <c r="C35" s="87"/>
      <c r="D35" s="418">
        <f t="shared" si="6"/>
        <v>0</v>
      </c>
      <c r="E35" s="419"/>
      <c r="F35" s="420">
        <f t="shared" si="2"/>
        <v>0</v>
      </c>
      <c r="G35" s="421"/>
      <c r="H35" s="420">
        <f>IFERROR(VLOOKUP(A35,InPutSolidPhisicalP!$A$3:$E$17,2,FALSE),0)</f>
        <v>0</v>
      </c>
      <c r="I35" s="422"/>
      <c r="J35" s="421"/>
      <c r="K35" s="420">
        <f>IFERROR(IF($E$10&gt;$E$9,IF(VLOOKUP(A35,InPutSolidPhisicalP!$A$3:$E$17,5,FALSE)="黏性土、粉土",ROUND(VLOOKUP(A35,InPutSolidPhisicalP!$A$3:$E$17,4,FALSE)*(0.8/$E$10)^(1/5),3),ROUND(VLOOKUP(A35,InPutSolidPhisicalP!$A$3:$E$17,4,FALSE)*(0.8/$E$10)^(1/3),3)),VLOOKUP(A35,InPutSolidPhisicalP!$A$3:$E$17,4,FALSE)),0)</f>
        <v>0</v>
      </c>
      <c r="L35" s="422"/>
      <c r="M35" s="421"/>
      <c r="N35" s="418">
        <f t="shared" si="5"/>
        <v>0</v>
      </c>
      <c r="O35" s="419"/>
      <c r="P35" s="76"/>
      <c r="R35" s="76"/>
      <c r="S35" s="76"/>
      <c r="T35" s="77"/>
    </row>
    <row r="36" spans="1:20" x14ac:dyDescent="0.2">
      <c r="A36" s="417"/>
      <c r="B36" s="417"/>
      <c r="C36" s="78"/>
      <c r="D36" s="418">
        <f t="shared" si="6"/>
        <v>0</v>
      </c>
      <c r="E36" s="419"/>
      <c r="F36" s="420">
        <f t="shared" si="2"/>
        <v>0</v>
      </c>
      <c r="G36" s="421"/>
      <c r="H36" s="420">
        <f>IFERROR(VLOOKUP(A36,InPutSolidPhisicalP!$A$3:$E$17,2,FALSE),0)</f>
        <v>0</v>
      </c>
      <c r="I36" s="422"/>
      <c r="J36" s="421"/>
      <c r="K36" s="420">
        <f>IFERROR(IF($E$10&gt;$E$9,IF(VLOOKUP(A36,InPutSolidPhisicalP!$A$3:$E$17,5,FALSE)="黏性土、粉土",ROUND(VLOOKUP(A36,InPutSolidPhisicalP!$A$3:$E$17,4,FALSE)*(0.8/$E$10)^(1/5),3),ROUND(VLOOKUP(A36,InPutSolidPhisicalP!$A$3:$E$17,4,FALSE)*(0.8/$E$10)^(1/3),3)),VLOOKUP(A36,InPutSolidPhisicalP!$A$3:$E$17,4,FALSE)),0)</f>
        <v>0</v>
      </c>
      <c r="L36" s="422"/>
      <c r="M36" s="421"/>
      <c r="N36" s="418">
        <f t="shared" si="5"/>
        <v>0</v>
      </c>
      <c r="O36" s="419"/>
      <c r="P36" s="76"/>
      <c r="Q36" s="76"/>
      <c r="R36" s="77"/>
      <c r="S36" s="77"/>
    </row>
    <row r="37" spans="1:20" x14ac:dyDescent="0.2">
      <c r="E37" s="67" t="s">
        <v>62</v>
      </c>
      <c r="F37" s="97">
        <v>-15.360000000000001</v>
      </c>
      <c r="G37" s="64" t="s">
        <v>51</v>
      </c>
      <c r="M37" s="83" t="s">
        <v>85</v>
      </c>
      <c r="N37" s="448">
        <f>SUM(N18:O36)</f>
        <v>1253.9100000000001</v>
      </c>
      <c r="O37" s="426"/>
      <c r="Q37" s="67"/>
      <c r="R37" s="449"/>
      <c r="S37" s="449"/>
    </row>
    <row r="38" spans="1:20" x14ac:dyDescent="0.2">
      <c r="E38" s="67" t="s">
        <v>53</v>
      </c>
      <c r="F38" s="64">
        <f>F37-F39</f>
        <v>-51.220000000000006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35.860000000000007</v>
      </c>
      <c r="G39" s="64" t="s">
        <v>51</v>
      </c>
    </row>
    <row r="40" spans="1:20" x14ac:dyDescent="0.2">
      <c r="E40" s="67" t="s">
        <v>81</v>
      </c>
      <c r="F40" s="67">
        <f>K10</f>
        <v>1.8849555921538759</v>
      </c>
      <c r="G40" s="80" t="s">
        <v>65</v>
      </c>
      <c r="H40" s="79">
        <f>N37</f>
        <v>1253.9100000000001</v>
      </c>
      <c r="I40" s="80"/>
    </row>
    <row r="41" spans="1:20" x14ac:dyDescent="0.2">
      <c r="E41" s="67" t="s">
        <v>66</v>
      </c>
      <c r="F41" s="412">
        <f>F40*H40</f>
        <v>2363.5646665576664</v>
      </c>
      <c r="G41" s="412"/>
      <c r="H41" s="64" t="s">
        <v>64</v>
      </c>
      <c r="I41" s="80"/>
      <c r="J41" s="81"/>
      <c r="K41" s="81"/>
    </row>
    <row r="43" spans="1:20" x14ac:dyDescent="0.2">
      <c r="A43" s="57" t="s">
        <v>68</v>
      </c>
    </row>
    <row r="44" spans="1:20" x14ac:dyDescent="0.2">
      <c r="G44" s="56" t="s">
        <v>86</v>
      </c>
      <c r="H44" s="450">
        <f>F41</f>
        <v>2363.5646665576664</v>
      </c>
      <c r="I44" s="450"/>
      <c r="J44" s="64" t="s">
        <v>64</v>
      </c>
    </row>
    <row r="45" spans="1:20" x14ac:dyDescent="0.2">
      <c r="G45" s="56" t="s">
        <v>87</v>
      </c>
      <c r="H45" s="82">
        <f>F39</f>
        <v>35.860000000000007</v>
      </c>
      <c r="I45" s="82" t="s">
        <v>65</v>
      </c>
      <c r="J45" s="80">
        <v>15</v>
      </c>
      <c r="K45" s="80" t="s">
        <v>65</v>
      </c>
      <c r="L45" s="79">
        <f>PI()*E10^2/4</f>
        <v>0.28274333882308139</v>
      </c>
    </row>
    <row r="46" spans="1:20" x14ac:dyDescent="0.2">
      <c r="G46" s="67" t="s">
        <v>66</v>
      </c>
      <c r="H46" s="450">
        <f>H45*J45*L45</f>
        <v>152.08764195293551</v>
      </c>
      <c r="I46" s="450"/>
      <c r="J46" s="64" t="s">
        <v>64</v>
      </c>
    </row>
    <row r="47" spans="1:20" x14ac:dyDescent="0.2">
      <c r="G47" s="56" t="s">
        <v>91</v>
      </c>
      <c r="H47" s="450">
        <f>H44</f>
        <v>2363.5646665576664</v>
      </c>
      <c r="I47" s="450"/>
      <c r="J47" s="64" t="s">
        <v>82</v>
      </c>
      <c r="K47" s="80" t="s">
        <v>67</v>
      </c>
      <c r="L47" s="451">
        <f>H46</f>
        <v>152.08764195293551</v>
      </c>
      <c r="M47" s="451"/>
    </row>
    <row r="48" spans="1:20" x14ac:dyDescent="0.2">
      <c r="G48" s="67" t="s">
        <v>66</v>
      </c>
      <c r="H48" s="414">
        <f>H47/2+L47</f>
        <v>1333.8699752317686</v>
      </c>
      <c r="I48" s="414"/>
      <c r="J48" s="57" t="s">
        <v>64</v>
      </c>
      <c r="K48" s="113" t="s">
        <v>159</v>
      </c>
      <c r="L48" s="114">
        <v>10</v>
      </c>
    </row>
    <row r="49" spans="1:12" x14ac:dyDescent="0.2">
      <c r="G49" s="56" t="s">
        <v>88</v>
      </c>
      <c r="H49" s="415">
        <f>FLOOR(H48,L48)</f>
        <v>1330</v>
      </c>
      <c r="I49" s="416"/>
      <c r="J49" s="58" t="s">
        <v>64</v>
      </c>
      <c r="L49" s="85"/>
    </row>
    <row r="50" spans="1:12" x14ac:dyDescent="0.2">
      <c r="A50" s="85"/>
    </row>
  </sheetData>
  <mergeCells count="139">
    <mergeCell ref="R37:S37"/>
    <mergeCell ref="F41:G41"/>
    <mergeCell ref="H44:I44"/>
    <mergeCell ref="H46:I46"/>
    <mergeCell ref="H47:I47"/>
    <mergeCell ref="L47:M47"/>
    <mergeCell ref="A36:B36"/>
    <mergeCell ref="D36:E36"/>
    <mergeCell ref="F36:G36"/>
    <mergeCell ref="H36:J36"/>
    <mergeCell ref="K36:M36"/>
    <mergeCell ref="N36:O36"/>
    <mergeCell ref="H48:I48"/>
    <mergeCell ref="H49:I49"/>
    <mergeCell ref="N37:O37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59"/>
  <sheetViews>
    <sheetView zoomScaleNormal="100" zoomScaleSheetLayoutView="100" workbookViewId="0">
      <selection activeCell="F27" sqref="F27"/>
    </sheetView>
  </sheetViews>
  <sheetFormatPr defaultRowHeight="15" x14ac:dyDescent="0.2"/>
  <cols>
    <col min="1" max="1" width="9.7109375" style="124" customWidth="1"/>
    <col min="2" max="2" width="17.85546875" style="124" customWidth="1"/>
    <col min="3" max="3" width="15.28515625" style="124" customWidth="1"/>
    <col min="4" max="4" width="19" style="124" customWidth="1"/>
    <col min="5" max="5" width="12.42578125" style="124" bestFit="1" customWidth="1"/>
    <col min="6" max="6" width="12" style="124" customWidth="1"/>
    <col min="7" max="7" width="13.140625" style="125" customWidth="1"/>
    <col min="8" max="9" width="10.7109375" style="124" customWidth="1"/>
    <col min="257" max="257" width="9.7109375" customWidth="1"/>
    <col min="258" max="258" width="17.85546875" customWidth="1"/>
    <col min="259" max="259" width="15.28515625" customWidth="1"/>
    <col min="260" max="260" width="19" customWidth="1"/>
    <col min="261" max="261" width="12.42578125" bestFit="1" customWidth="1"/>
    <col min="262" max="262" width="12" customWidth="1"/>
    <col min="263" max="263" width="13.140625" customWidth="1"/>
    <col min="264" max="265" width="10.7109375" customWidth="1"/>
    <col min="513" max="513" width="9.7109375" customWidth="1"/>
    <col min="514" max="514" width="17.85546875" customWidth="1"/>
    <col min="515" max="515" width="15.28515625" customWidth="1"/>
    <col min="516" max="516" width="19" customWidth="1"/>
    <col min="517" max="517" width="12.42578125" bestFit="1" customWidth="1"/>
    <col min="518" max="518" width="12" customWidth="1"/>
    <col min="519" max="519" width="13.140625" customWidth="1"/>
    <col min="520" max="521" width="10.7109375" customWidth="1"/>
    <col min="769" max="769" width="9.7109375" customWidth="1"/>
    <col min="770" max="770" width="17.85546875" customWidth="1"/>
    <col min="771" max="771" width="15.28515625" customWidth="1"/>
    <col min="772" max="772" width="19" customWidth="1"/>
    <col min="773" max="773" width="12.42578125" bestFit="1" customWidth="1"/>
    <col min="774" max="774" width="12" customWidth="1"/>
    <col min="775" max="775" width="13.140625" customWidth="1"/>
    <col min="776" max="777" width="10.7109375" customWidth="1"/>
    <col min="1025" max="1025" width="9.7109375" customWidth="1"/>
    <col min="1026" max="1026" width="17.85546875" customWidth="1"/>
    <col min="1027" max="1027" width="15.28515625" customWidth="1"/>
    <col min="1028" max="1028" width="19" customWidth="1"/>
    <col min="1029" max="1029" width="12.42578125" bestFit="1" customWidth="1"/>
    <col min="1030" max="1030" width="12" customWidth="1"/>
    <col min="1031" max="1031" width="13.140625" customWidth="1"/>
    <col min="1032" max="1033" width="10.7109375" customWidth="1"/>
    <col min="1281" max="1281" width="9.7109375" customWidth="1"/>
    <col min="1282" max="1282" width="17.85546875" customWidth="1"/>
    <col min="1283" max="1283" width="15.28515625" customWidth="1"/>
    <col min="1284" max="1284" width="19" customWidth="1"/>
    <col min="1285" max="1285" width="12.42578125" bestFit="1" customWidth="1"/>
    <col min="1286" max="1286" width="12" customWidth="1"/>
    <col min="1287" max="1287" width="13.140625" customWidth="1"/>
    <col min="1288" max="1289" width="10.7109375" customWidth="1"/>
    <col min="1537" max="1537" width="9.7109375" customWidth="1"/>
    <col min="1538" max="1538" width="17.85546875" customWidth="1"/>
    <col min="1539" max="1539" width="15.28515625" customWidth="1"/>
    <col min="1540" max="1540" width="19" customWidth="1"/>
    <col min="1541" max="1541" width="12.42578125" bestFit="1" customWidth="1"/>
    <col min="1542" max="1542" width="12" customWidth="1"/>
    <col min="1543" max="1543" width="13.140625" customWidth="1"/>
    <col min="1544" max="1545" width="10.7109375" customWidth="1"/>
    <col min="1793" max="1793" width="9.7109375" customWidth="1"/>
    <col min="1794" max="1794" width="17.85546875" customWidth="1"/>
    <col min="1795" max="1795" width="15.28515625" customWidth="1"/>
    <col min="1796" max="1796" width="19" customWidth="1"/>
    <col min="1797" max="1797" width="12.42578125" bestFit="1" customWidth="1"/>
    <col min="1798" max="1798" width="12" customWidth="1"/>
    <col min="1799" max="1799" width="13.140625" customWidth="1"/>
    <col min="1800" max="1801" width="10.7109375" customWidth="1"/>
    <col min="2049" max="2049" width="9.7109375" customWidth="1"/>
    <col min="2050" max="2050" width="17.85546875" customWidth="1"/>
    <col min="2051" max="2051" width="15.28515625" customWidth="1"/>
    <col min="2052" max="2052" width="19" customWidth="1"/>
    <col min="2053" max="2053" width="12.42578125" bestFit="1" customWidth="1"/>
    <col min="2054" max="2054" width="12" customWidth="1"/>
    <col min="2055" max="2055" width="13.140625" customWidth="1"/>
    <col min="2056" max="2057" width="10.7109375" customWidth="1"/>
    <col min="2305" max="2305" width="9.7109375" customWidth="1"/>
    <col min="2306" max="2306" width="17.85546875" customWidth="1"/>
    <col min="2307" max="2307" width="15.28515625" customWidth="1"/>
    <col min="2308" max="2308" width="19" customWidth="1"/>
    <col min="2309" max="2309" width="12.42578125" bestFit="1" customWidth="1"/>
    <col min="2310" max="2310" width="12" customWidth="1"/>
    <col min="2311" max="2311" width="13.140625" customWidth="1"/>
    <col min="2312" max="2313" width="10.7109375" customWidth="1"/>
    <col min="2561" max="2561" width="9.7109375" customWidth="1"/>
    <col min="2562" max="2562" width="17.85546875" customWidth="1"/>
    <col min="2563" max="2563" width="15.28515625" customWidth="1"/>
    <col min="2564" max="2564" width="19" customWidth="1"/>
    <col min="2565" max="2565" width="12.42578125" bestFit="1" customWidth="1"/>
    <col min="2566" max="2566" width="12" customWidth="1"/>
    <col min="2567" max="2567" width="13.140625" customWidth="1"/>
    <col min="2568" max="2569" width="10.7109375" customWidth="1"/>
    <col min="2817" max="2817" width="9.7109375" customWidth="1"/>
    <col min="2818" max="2818" width="17.85546875" customWidth="1"/>
    <col min="2819" max="2819" width="15.28515625" customWidth="1"/>
    <col min="2820" max="2820" width="19" customWidth="1"/>
    <col min="2821" max="2821" width="12.42578125" bestFit="1" customWidth="1"/>
    <col min="2822" max="2822" width="12" customWidth="1"/>
    <col min="2823" max="2823" width="13.140625" customWidth="1"/>
    <col min="2824" max="2825" width="10.7109375" customWidth="1"/>
    <col min="3073" max="3073" width="9.7109375" customWidth="1"/>
    <col min="3074" max="3074" width="17.85546875" customWidth="1"/>
    <col min="3075" max="3075" width="15.28515625" customWidth="1"/>
    <col min="3076" max="3076" width="19" customWidth="1"/>
    <col min="3077" max="3077" width="12.42578125" bestFit="1" customWidth="1"/>
    <col min="3078" max="3078" width="12" customWidth="1"/>
    <col min="3079" max="3079" width="13.140625" customWidth="1"/>
    <col min="3080" max="3081" width="10.7109375" customWidth="1"/>
    <col min="3329" max="3329" width="9.7109375" customWidth="1"/>
    <col min="3330" max="3330" width="17.85546875" customWidth="1"/>
    <col min="3331" max="3331" width="15.28515625" customWidth="1"/>
    <col min="3332" max="3332" width="19" customWidth="1"/>
    <col min="3333" max="3333" width="12.42578125" bestFit="1" customWidth="1"/>
    <col min="3334" max="3334" width="12" customWidth="1"/>
    <col min="3335" max="3335" width="13.140625" customWidth="1"/>
    <col min="3336" max="3337" width="10.7109375" customWidth="1"/>
    <col min="3585" max="3585" width="9.7109375" customWidth="1"/>
    <col min="3586" max="3586" width="17.85546875" customWidth="1"/>
    <col min="3587" max="3587" width="15.28515625" customWidth="1"/>
    <col min="3588" max="3588" width="19" customWidth="1"/>
    <col min="3589" max="3589" width="12.42578125" bestFit="1" customWidth="1"/>
    <col min="3590" max="3590" width="12" customWidth="1"/>
    <col min="3591" max="3591" width="13.140625" customWidth="1"/>
    <col min="3592" max="3593" width="10.7109375" customWidth="1"/>
    <col min="3841" max="3841" width="9.7109375" customWidth="1"/>
    <col min="3842" max="3842" width="17.85546875" customWidth="1"/>
    <col min="3843" max="3843" width="15.28515625" customWidth="1"/>
    <col min="3844" max="3844" width="19" customWidth="1"/>
    <col min="3845" max="3845" width="12.42578125" bestFit="1" customWidth="1"/>
    <col min="3846" max="3846" width="12" customWidth="1"/>
    <col min="3847" max="3847" width="13.140625" customWidth="1"/>
    <col min="3848" max="3849" width="10.7109375" customWidth="1"/>
    <col min="4097" max="4097" width="9.7109375" customWidth="1"/>
    <col min="4098" max="4098" width="17.85546875" customWidth="1"/>
    <col min="4099" max="4099" width="15.28515625" customWidth="1"/>
    <col min="4100" max="4100" width="19" customWidth="1"/>
    <col min="4101" max="4101" width="12.42578125" bestFit="1" customWidth="1"/>
    <col min="4102" max="4102" width="12" customWidth="1"/>
    <col min="4103" max="4103" width="13.140625" customWidth="1"/>
    <col min="4104" max="4105" width="10.7109375" customWidth="1"/>
    <col min="4353" max="4353" width="9.7109375" customWidth="1"/>
    <col min="4354" max="4354" width="17.85546875" customWidth="1"/>
    <col min="4355" max="4355" width="15.28515625" customWidth="1"/>
    <col min="4356" max="4356" width="19" customWidth="1"/>
    <col min="4357" max="4357" width="12.42578125" bestFit="1" customWidth="1"/>
    <col min="4358" max="4358" width="12" customWidth="1"/>
    <col min="4359" max="4359" width="13.140625" customWidth="1"/>
    <col min="4360" max="4361" width="10.7109375" customWidth="1"/>
    <col min="4609" max="4609" width="9.7109375" customWidth="1"/>
    <col min="4610" max="4610" width="17.85546875" customWidth="1"/>
    <col min="4611" max="4611" width="15.28515625" customWidth="1"/>
    <col min="4612" max="4612" width="19" customWidth="1"/>
    <col min="4613" max="4613" width="12.42578125" bestFit="1" customWidth="1"/>
    <col min="4614" max="4614" width="12" customWidth="1"/>
    <col min="4615" max="4615" width="13.140625" customWidth="1"/>
    <col min="4616" max="4617" width="10.7109375" customWidth="1"/>
    <col min="4865" max="4865" width="9.7109375" customWidth="1"/>
    <col min="4866" max="4866" width="17.85546875" customWidth="1"/>
    <col min="4867" max="4867" width="15.28515625" customWidth="1"/>
    <col min="4868" max="4868" width="19" customWidth="1"/>
    <col min="4869" max="4869" width="12.42578125" bestFit="1" customWidth="1"/>
    <col min="4870" max="4870" width="12" customWidth="1"/>
    <col min="4871" max="4871" width="13.140625" customWidth="1"/>
    <col min="4872" max="4873" width="10.7109375" customWidth="1"/>
    <col min="5121" max="5121" width="9.7109375" customWidth="1"/>
    <col min="5122" max="5122" width="17.85546875" customWidth="1"/>
    <col min="5123" max="5123" width="15.28515625" customWidth="1"/>
    <col min="5124" max="5124" width="19" customWidth="1"/>
    <col min="5125" max="5125" width="12.42578125" bestFit="1" customWidth="1"/>
    <col min="5126" max="5126" width="12" customWidth="1"/>
    <col min="5127" max="5127" width="13.140625" customWidth="1"/>
    <col min="5128" max="5129" width="10.7109375" customWidth="1"/>
    <col min="5377" max="5377" width="9.7109375" customWidth="1"/>
    <col min="5378" max="5378" width="17.85546875" customWidth="1"/>
    <col min="5379" max="5379" width="15.28515625" customWidth="1"/>
    <col min="5380" max="5380" width="19" customWidth="1"/>
    <col min="5381" max="5381" width="12.42578125" bestFit="1" customWidth="1"/>
    <col min="5382" max="5382" width="12" customWidth="1"/>
    <col min="5383" max="5383" width="13.140625" customWidth="1"/>
    <col min="5384" max="5385" width="10.7109375" customWidth="1"/>
    <col min="5633" max="5633" width="9.7109375" customWidth="1"/>
    <col min="5634" max="5634" width="17.85546875" customWidth="1"/>
    <col min="5635" max="5635" width="15.28515625" customWidth="1"/>
    <col min="5636" max="5636" width="19" customWidth="1"/>
    <col min="5637" max="5637" width="12.42578125" bestFit="1" customWidth="1"/>
    <col min="5638" max="5638" width="12" customWidth="1"/>
    <col min="5639" max="5639" width="13.140625" customWidth="1"/>
    <col min="5640" max="5641" width="10.7109375" customWidth="1"/>
    <col min="5889" max="5889" width="9.7109375" customWidth="1"/>
    <col min="5890" max="5890" width="17.85546875" customWidth="1"/>
    <col min="5891" max="5891" width="15.28515625" customWidth="1"/>
    <col min="5892" max="5892" width="19" customWidth="1"/>
    <col min="5893" max="5893" width="12.42578125" bestFit="1" customWidth="1"/>
    <col min="5894" max="5894" width="12" customWidth="1"/>
    <col min="5895" max="5895" width="13.140625" customWidth="1"/>
    <col min="5896" max="5897" width="10.7109375" customWidth="1"/>
    <col min="6145" max="6145" width="9.7109375" customWidth="1"/>
    <col min="6146" max="6146" width="17.85546875" customWidth="1"/>
    <col min="6147" max="6147" width="15.28515625" customWidth="1"/>
    <col min="6148" max="6148" width="19" customWidth="1"/>
    <col min="6149" max="6149" width="12.42578125" bestFit="1" customWidth="1"/>
    <col min="6150" max="6150" width="12" customWidth="1"/>
    <col min="6151" max="6151" width="13.140625" customWidth="1"/>
    <col min="6152" max="6153" width="10.7109375" customWidth="1"/>
    <col min="6401" max="6401" width="9.7109375" customWidth="1"/>
    <col min="6402" max="6402" width="17.85546875" customWidth="1"/>
    <col min="6403" max="6403" width="15.28515625" customWidth="1"/>
    <col min="6404" max="6404" width="19" customWidth="1"/>
    <col min="6405" max="6405" width="12.42578125" bestFit="1" customWidth="1"/>
    <col min="6406" max="6406" width="12" customWidth="1"/>
    <col min="6407" max="6407" width="13.140625" customWidth="1"/>
    <col min="6408" max="6409" width="10.7109375" customWidth="1"/>
    <col min="6657" max="6657" width="9.7109375" customWidth="1"/>
    <col min="6658" max="6658" width="17.85546875" customWidth="1"/>
    <col min="6659" max="6659" width="15.28515625" customWidth="1"/>
    <col min="6660" max="6660" width="19" customWidth="1"/>
    <col min="6661" max="6661" width="12.42578125" bestFit="1" customWidth="1"/>
    <col min="6662" max="6662" width="12" customWidth="1"/>
    <col min="6663" max="6663" width="13.140625" customWidth="1"/>
    <col min="6664" max="6665" width="10.7109375" customWidth="1"/>
    <col min="6913" max="6913" width="9.7109375" customWidth="1"/>
    <col min="6914" max="6914" width="17.85546875" customWidth="1"/>
    <col min="6915" max="6915" width="15.28515625" customWidth="1"/>
    <col min="6916" max="6916" width="19" customWidth="1"/>
    <col min="6917" max="6917" width="12.42578125" bestFit="1" customWidth="1"/>
    <col min="6918" max="6918" width="12" customWidth="1"/>
    <col min="6919" max="6919" width="13.140625" customWidth="1"/>
    <col min="6920" max="6921" width="10.7109375" customWidth="1"/>
    <col min="7169" max="7169" width="9.7109375" customWidth="1"/>
    <col min="7170" max="7170" width="17.85546875" customWidth="1"/>
    <col min="7171" max="7171" width="15.28515625" customWidth="1"/>
    <col min="7172" max="7172" width="19" customWidth="1"/>
    <col min="7173" max="7173" width="12.42578125" bestFit="1" customWidth="1"/>
    <col min="7174" max="7174" width="12" customWidth="1"/>
    <col min="7175" max="7175" width="13.140625" customWidth="1"/>
    <col min="7176" max="7177" width="10.7109375" customWidth="1"/>
    <col min="7425" max="7425" width="9.7109375" customWidth="1"/>
    <col min="7426" max="7426" width="17.85546875" customWidth="1"/>
    <col min="7427" max="7427" width="15.28515625" customWidth="1"/>
    <col min="7428" max="7428" width="19" customWidth="1"/>
    <col min="7429" max="7429" width="12.42578125" bestFit="1" customWidth="1"/>
    <col min="7430" max="7430" width="12" customWidth="1"/>
    <col min="7431" max="7431" width="13.140625" customWidth="1"/>
    <col min="7432" max="7433" width="10.7109375" customWidth="1"/>
    <col min="7681" max="7681" width="9.7109375" customWidth="1"/>
    <col min="7682" max="7682" width="17.85546875" customWidth="1"/>
    <col min="7683" max="7683" width="15.28515625" customWidth="1"/>
    <col min="7684" max="7684" width="19" customWidth="1"/>
    <col min="7685" max="7685" width="12.42578125" bestFit="1" customWidth="1"/>
    <col min="7686" max="7686" width="12" customWidth="1"/>
    <col min="7687" max="7687" width="13.140625" customWidth="1"/>
    <col min="7688" max="7689" width="10.7109375" customWidth="1"/>
    <col min="7937" max="7937" width="9.7109375" customWidth="1"/>
    <col min="7938" max="7938" width="17.85546875" customWidth="1"/>
    <col min="7939" max="7939" width="15.28515625" customWidth="1"/>
    <col min="7940" max="7940" width="19" customWidth="1"/>
    <col min="7941" max="7941" width="12.42578125" bestFit="1" customWidth="1"/>
    <col min="7942" max="7942" width="12" customWidth="1"/>
    <col min="7943" max="7943" width="13.140625" customWidth="1"/>
    <col min="7944" max="7945" width="10.7109375" customWidth="1"/>
    <col min="8193" max="8193" width="9.7109375" customWidth="1"/>
    <col min="8194" max="8194" width="17.85546875" customWidth="1"/>
    <col min="8195" max="8195" width="15.28515625" customWidth="1"/>
    <col min="8196" max="8196" width="19" customWidth="1"/>
    <col min="8197" max="8197" width="12.42578125" bestFit="1" customWidth="1"/>
    <col min="8198" max="8198" width="12" customWidth="1"/>
    <col min="8199" max="8199" width="13.140625" customWidth="1"/>
    <col min="8200" max="8201" width="10.7109375" customWidth="1"/>
    <col min="8449" max="8449" width="9.7109375" customWidth="1"/>
    <col min="8450" max="8450" width="17.85546875" customWidth="1"/>
    <col min="8451" max="8451" width="15.28515625" customWidth="1"/>
    <col min="8452" max="8452" width="19" customWidth="1"/>
    <col min="8453" max="8453" width="12.42578125" bestFit="1" customWidth="1"/>
    <col min="8454" max="8454" width="12" customWidth="1"/>
    <col min="8455" max="8455" width="13.140625" customWidth="1"/>
    <col min="8456" max="8457" width="10.7109375" customWidth="1"/>
    <col min="8705" max="8705" width="9.7109375" customWidth="1"/>
    <col min="8706" max="8706" width="17.85546875" customWidth="1"/>
    <col min="8707" max="8707" width="15.28515625" customWidth="1"/>
    <col min="8708" max="8708" width="19" customWidth="1"/>
    <col min="8709" max="8709" width="12.42578125" bestFit="1" customWidth="1"/>
    <col min="8710" max="8710" width="12" customWidth="1"/>
    <col min="8711" max="8711" width="13.140625" customWidth="1"/>
    <col min="8712" max="8713" width="10.7109375" customWidth="1"/>
    <col min="8961" max="8961" width="9.7109375" customWidth="1"/>
    <col min="8962" max="8962" width="17.85546875" customWidth="1"/>
    <col min="8963" max="8963" width="15.28515625" customWidth="1"/>
    <col min="8964" max="8964" width="19" customWidth="1"/>
    <col min="8965" max="8965" width="12.42578125" bestFit="1" customWidth="1"/>
    <col min="8966" max="8966" width="12" customWidth="1"/>
    <col min="8967" max="8967" width="13.140625" customWidth="1"/>
    <col min="8968" max="8969" width="10.7109375" customWidth="1"/>
    <col min="9217" max="9217" width="9.7109375" customWidth="1"/>
    <col min="9218" max="9218" width="17.85546875" customWidth="1"/>
    <col min="9219" max="9219" width="15.28515625" customWidth="1"/>
    <col min="9220" max="9220" width="19" customWidth="1"/>
    <col min="9221" max="9221" width="12.42578125" bestFit="1" customWidth="1"/>
    <col min="9222" max="9222" width="12" customWidth="1"/>
    <col min="9223" max="9223" width="13.140625" customWidth="1"/>
    <col min="9224" max="9225" width="10.7109375" customWidth="1"/>
    <col min="9473" max="9473" width="9.7109375" customWidth="1"/>
    <col min="9474" max="9474" width="17.85546875" customWidth="1"/>
    <col min="9475" max="9475" width="15.28515625" customWidth="1"/>
    <col min="9476" max="9476" width="19" customWidth="1"/>
    <col min="9477" max="9477" width="12.42578125" bestFit="1" customWidth="1"/>
    <col min="9478" max="9478" width="12" customWidth="1"/>
    <col min="9479" max="9479" width="13.140625" customWidth="1"/>
    <col min="9480" max="9481" width="10.7109375" customWidth="1"/>
    <col min="9729" max="9729" width="9.7109375" customWidth="1"/>
    <col min="9730" max="9730" width="17.85546875" customWidth="1"/>
    <col min="9731" max="9731" width="15.28515625" customWidth="1"/>
    <col min="9732" max="9732" width="19" customWidth="1"/>
    <col min="9733" max="9733" width="12.42578125" bestFit="1" customWidth="1"/>
    <col min="9734" max="9734" width="12" customWidth="1"/>
    <col min="9735" max="9735" width="13.140625" customWidth="1"/>
    <col min="9736" max="9737" width="10.7109375" customWidth="1"/>
    <col min="9985" max="9985" width="9.7109375" customWidth="1"/>
    <col min="9986" max="9986" width="17.85546875" customWidth="1"/>
    <col min="9987" max="9987" width="15.28515625" customWidth="1"/>
    <col min="9988" max="9988" width="19" customWidth="1"/>
    <col min="9989" max="9989" width="12.42578125" bestFit="1" customWidth="1"/>
    <col min="9990" max="9990" width="12" customWidth="1"/>
    <col min="9991" max="9991" width="13.140625" customWidth="1"/>
    <col min="9992" max="9993" width="10.7109375" customWidth="1"/>
    <col min="10241" max="10241" width="9.7109375" customWidth="1"/>
    <col min="10242" max="10242" width="17.85546875" customWidth="1"/>
    <col min="10243" max="10243" width="15.28515625" customWidth="1"/>
    <col min="10244" max="10244" width="19" customWidth="1"/>
    <col min="10245" max="10245" width="12.42578125" bestFit="1" customWidth="1"/>
    <col min="10246" max="10246" width="12" customWidth="1"/>
    <col min="10247" max="10247" width="13.140625" customWidth="1"/>
    <col min="10248" max="10249" width="10.7109375" customWidth="1"/>
    <col min="10497" max="10497" width="9.7109375" customWidth="1"/>
    <col min="10498" max="10498" width="17.85546875" customWidth="1"/>
    <col min="10499" max="10499" width="15.28515625" customWidth="1"/>
    <col min="10500" max="10500" width="19" customWidth="1"/>
    <col min="10501" max="10501" width="12.42578125" bestFit="1" customWidth="1"/>
    <col min="10502" max="10502" width="12" customWidth="1"/>
    <col min="10503" max="10503" width="13.140625" customWidth="1"/>
    <col min="10504" max="10505" width="10.7109375" customWidth="1"/>
    <col min="10753" max="10753" width="9.7109375" customWidth="1"/>
    <col min="10754" max="10754" width="17.85546875" customWidth="1"/>
    <col min="10755" max="10755" width="15.28515625" customWidth="1"/>
    <col min="10756" max="10756" width="19" customWidth="1"/>
    <col min="10757" max="10757" width="12.42578125" bestFit="1" customWidth="1"/>
    <col min="10758" max="10758" width="12" customWidth="1"/>
    <col min="10759" max="10759" width="13.140625" customWidth="1"/>
    <col min="10760" max="10761" width="10.7109375" customWidth="1"/>
    <col min="11009" max="11009" width="9.7109375" customWidth="1"/>
    <col min="11010" max="11010" width="17.85546875" customWidth="1"/>
    <col min="11011" max="11011" width="15.28515625" customWidth="1"/>
    <col min="11012" max="11012" width="19" customWidth="1"/>
    <col min="11013" max="11013" width="12.42578125" bestFit="1" customWidth="1"/>
    <col min="11014" max="11014" width="12" customWidth="1"/>
    <col min="11015" max="11015" width="13.140625" customWidth="1"/>
    <col min="11016" max="11017" width="10.7109375" customWidth="1"/>
    <col min="11265" max="11265" width="9.7109375" customWidth="1"/>
    <col min="11266" max="11266" width="17.85546875" customWidth="1"/>
    <col min="11267" max="11267" width="15.28515625" customWidth="1"/>
    <col min="11268" max="11268" width="19" customWidth="1"/>
    <col min="11269" max="11269" width="12.42578125" bestFit="1" customWidth="1"/>
    <col min="11270" max="11270" width="12" customWidth="1"/>
    <col min="11271" max="11271" width="13.140625" customWidth="1"/>
    <col min="11272" max="11273" width="10.7109375" customWidth="1"/>
    <col min="11521" max="11521" width="9.7109375" customWidth="1"/>
    <col min="11522" max="11522" width="17.85546875" customWidth="1"/>
    <col min="11523" max="11523" width="15.28515625" customWidth="1"/>
    <col min="11524" max="11524" width="19" customWidth="1"/>
    <col min="11525" max="11525" width="12.42578125" bestFit="1" customWidth="1"/>
    <col min="11526" max="11526" width="12" customWidth="1"/>
    <col min="11527" max="11527" width="13.140625" customWidth="1"/>
    <col min="11528" max="11529" width="10.7109375" customWidth="1"/>
    <col min="11777" max="11777" width="9.7109375" customWidth="1"/>
    <col min="11778" max="11778" width="17.85546875" customWidth="1"/>
    <col min="11779" max="11779" width="15.28515625" customWidth="1"/>
    <col min="11780" max="11780" width="19" customWidth="1"/>
    <col min="11781" max="11781" width="12.42578125" bestFit="1" customWidth="1"/>
    <col min="11782" max="11782" width="12" customWidth="1"/>
    <col min="11783" max="11783" width="13.140625" customWidth="1"/>
    <col min="11784" max="11785" width="10.7109375" customWidth="1"/>
    <col min="12033" max="12033" width="9.7109375" customWidth="1"/>
    <col min="12034" max="12034" width="17.85546875" customWidth="1"/>
    <col min="12035" max="12035" width="15.28515625" customWidth="1"/>
    <col min="12036" max="12036" width="19" customWidth="1"/>
    <col min="12037" max="12037" width="12.42578125" bestFit="1" customWidth="1"/>
    <col min="12038" max="12038" width="12" customWidth="1"/>
    <col min="12039" max="12039" width="13.140625" customWidth="1"/>
    <col min="12040" max="12041" width="10.7109375" customWidth="1"/>
    <col min="12289" max="12289" width="9.7109375" customWidth="1"/>
    <col min="12290" max="12290" width="17.85546875" customWidth="1"/>
    <col min="12291" max="12291" width="15.28515625" customWidth="1"/>
    <col min="12292" max="12292" width="19" customWidth="1"/>
    <col min="12293" max="12293" width="12.42578125" bestFit="1" customWidth="1"/>
    <col min="12294" max="12294" width="12" customWidth="1"/>
    <col min="12295" max="12295" width="13.140625" customWidth="1"/>
    <col min="12296" max="12297" width="10.7109375" customWidth="1"/>
    <col min="12545" max="12545" width="9.7109375" customWidth="1"/>
    <col min="12546" max="12546" width="17.85546875" customWidth="1"/>
    <col min="12547" max="12547" width="15.28515625" customWidth="1"/>
    <col min="12548" max="12548" width="19" customWidth="1"/>
    <col min="12549" max="12549" width="12.42578125" bestFit="1" customWidth="1"/>
    <col min="12550" max="12550" width="12" customWidth="1"/>
    <col min="12551" max="12551" width="13.140625" customWidth="1"/>
    <col min="12552" max="12553" width="10.7109375" customWidth="1"/>
    <col min="12801" max="12801" width="9.7109375" customWidth="1"/>
    <col min="12802" max="12802" width="17.85546875" customWidth="1"/>
    <col min="12803" max="12803" width="15.28515625" customWidth="1"/>
    <col min="12804" max="12804" width="19" customWidth="1"/>
    <col min="12805" max="12805" width="12.42578125" bestFit="1" customWidth="1"/>
    <col min="12806" max="12806" width="12" customWidth="1"/>
    <col min="12807" max="12807" width="13.140625" customWidth="1"/>
    <col min="12808" max="12809" width="10.7109375" customWidth="1"/>
    <col min="13057" max="13057" width="9.7109375" customWidth="1"/>
    <col min="13058" max="13058" width="17.85546875" customWidth="1"/>
    <col min="13059" max="13059" width="15.28515625" customWidth="1"/>
    <col min="13060" max="13060" width="19" customWidth="1"/>
    <col min="13061" max="13061" width="12.42578125" bestFit="1" customWidth="1"/>
    <col min="13062" max="13062" width="12" customWidth="1"/>
    <col min="13063" max="13063" width="13.140625" customWidth="1"/>
    <col min="13064" max="13065" width="10.7109375" customWidth="1"/>
    <col min="13313" max="13313" width="9.7109375" customWidth="1"/>
    <col min="13314" max="13314" width="17.85546875" customWidth="1"/>
    <col min="13315" max="13315" width="15.28515625" customWidth="1"/>
    <col min="13316" max="13316" width="19" customWidth="1"/>
    <col min="13317" max="13317" width="12.42578125" bestFit="1" customWidth="1"/>
    <col min="13318" max="13318" width="12" customWidth="1"/>
    <col min="13319" max="13319" width="13.140625" customWidth="1"/>
    <col min="13320" max="13321" width="10.7109375" customWidth="1"/>
    <col min="13569" max="13569" width="9.7109375" customWidth="1"/>
    <col min="13570" max="13570" width="17.85546875" customWidth="1"/>
    <col min="13571" max="13571" width="15.28515625" customWidth="1"/>
    <col min="13572" max="13572" width="19" customWidth="1"/>
    <col min="13573" max="13573" width="12.42578125" bestFit="1" customWidth="1"/>
    <col min="13574" max="13574" width="12" customWidth="1"/>
    <col min="13575" max="13575" width="13.140625" customWidth="1"/>
    <col min="13576" max="13577" width="10.7109375" customWidth="1"/>
    <col min="13825" max="13825" width="9.7109375" customWidth="1"/>
    <col min="13826" max="13826" width="17.85546875" customWidth="1"/>
    <col min="13827" max="13827" width="15.28515625" customWidth="1"/>
    <col min="13828" max="13828" width="19" customWidth="1"/>
    <col min="13829" max="13829" width="12.42578125" bestFit="1" customWidth="1"/>
    <col min="13830" max="13830" width="12" customWidth="1"/>
    <col min="13831" max="13831" width="13.140625" customWidth="1"/>
    <col min="13832" max="13833" width="10.7109375" customWidth="1"/>
    <col min="14081" max="14081" width="9.7109375" customWidth="1"/>
    <col min="14082" max="14082" width="17.85546875" customWidth="1"/>
    <col min="14083" max="14083" width="15.28515625" customWidth="1"/>
    <col min="14084" max="14084" width="19" customWidth="1"/>
    <col min="14085" max="14085" width="12.42578125" bestFit="1" customWidth="1"/>
    <col min="14086" max="14086" width="12" customWidth="1"/>
    <col min="14087" max="14087" width="13.140625" customWidth="1"/>
    <col min="14088" max="14089" width="10.7109375" customWidth="1"/>
    <col min="14337" max="14337" width="9.7109375" customWidth="1"/>
    <col min="14338" max="14338" width="17.85546875" customWidth="1"/>
    <col min="14339" max="14339" width="15.28515625" customWidth="1"/>
    <col min="14340" max="14340" width="19" customWidth="1"/>
    <col min="14341" max="14341" width="12.42578125" bestFit="1" customWidth="1"/>
    <col min="14342" max="14342" width="12" customWidth="1"/>
    <col min="14343" max="14343" width="13.140625" customWidth="1"/>
    <col min="14344" max="14345" width="10.7109375" customWidth="1"/>
    <col min="14593" max="14593" width="9.7109375" customWidth="1"/>
    <col min="14594" max="14594" width="17.85546875" customWidth="1"/>
    <col min="14595" max="14595" width="15.28515625" customWidth="1"/>
    <col min="14596" max="14596" width="19" customWidth="1"/>
    <col min="14597" max="14597" width="12.42578125" bestFit="1" customWidth="1"/>
    <col min="14598" max="14598" width="12" customWidth="1"/>
    <col min="14599" max="14599" width="13.140625" customWidth="1"/>
    <col min="14600" max="14601" width="10.7109375" customWidth="1"/>
    <col min="14849" max="14849" width="9.7109375" customWidth="1"/>
    <col min="14850" max="14850" width="17.85546875" customWidth="1"/>
    <col min="14851" max="14851" width="15.28515625" customWidth="1"/>
    <col min="14852" max="14852" width="19" customWidth="1"/>
    <col min="14853" max="14853" width="12.42578125" bestFit="1" customWidth="1"/>
    <col min="14854" max="14854" width="12" customWidth="1"/>
    <col min="14855" max="14855" width="13.140625" customWidth="1"/>
    <col min="14856" max="14857" width="10.7109375" customWidth="1"/>
    <col min="15105" max="15105" width="9.7109375" customWidth="1"/>
    <col min="15106" max="15106" width="17.85546875" customWidth="1"/>
    <col min="15107" max="15107" width="15.28515625" customWidth="1"/>
    <col min="15108" max="15108" width="19" customWidth="1"/>
    <col min="15109" max="15109" width="12.42578125" bestFit="1" customWidth="1"/>
    <col min="15110" max="15110" width="12" customWidth="1"/>
    <col min="15111" max="15111" width="13.140625" customWidth="1"/>
    <col min="15112" max="15113" width="10.7109375" customWidth="1"/>
    <col min="15361" max="15361" width="9.7109375" customWidth="1"/>
    <col min="15362" max="15362" width="17.85546875" customWidth="1"/>
    <col min="15363" max="15363" width="15.28515625" customWidth="1"/>
    <col min="15364" max="15364" width="19" customWidth="1"/>
    <col min="15365" max="15365" width="12.42578125" bestFit="1" customWidth="1"/>
    <col min="15366" max="15366" width="12" customWidth="1"/>
    <col min="15367" max="15367" width="13.140625" customWidth="1"/>
    <col min="15368" max="15369" width="10.7109375" customWidth="1"/>
    <col min="15617" max="15617" width="9.7109375" customWidth="1"/>
    <col min="15618" max="15618" width="17.85546875" customWidth="1"/>
    <col min="15619" max="15619" width="15.28515625" customWidth="1"/>
    <col min="15620" max="15620" width="19" customWidth="1"/>
    <col min="15621" max="15621" width="12.42578125" bestFit="1" customWidth="1"/>
    <col min="15622" max="15622" width="12" customWidth="1"/>
    <col min="15623" max="15623" width="13.140625" customWidth="1"/>
    <col min="15624" max="15625" width="10.7109375" customWidth="1"/>
    <col min="15873" max="15873" width="9.7109375" customWidth="1"/>
    <col min="15874" max="15874" width="17.85546875" customWidth="1"/>
    <col min="15875" max="15875" width="15.28515625" customWidth="1"/>
    <col min="15876" max="15876" width="19" customWidth="1"/>
    <col min="15877" max="15877" width="12.42578125" bestFit="1" customWidth="1"/>
    <col min="15878" max="15878" width="12" customWidth="1"/>
    <col min="15879" max="15879" width="13.140625" customWidth="1"/>
    <col min="15880" max="15881" width="10.7109375" customWidth="1"/>
    <col min="16129" max="16129" width="9.7109375" customWidth="1"/>
    <col min="16130" max="16130" width="17.85546875" customWidth="1"/>
    <col min="16131" max="16131" width="15.28515625" customWidth="1"/>
    <col min="16132" max="16132" width="19" customWidth="1"/>
    <col min="16133" max="16133" width="12.42578125" bestFit="1" customWidth="1"/>
    <col min="16134" max="16134" width="12" customWidth="1"/>
    <col min="16135" max="16135" width="13.140625" customWidth="1"/>
    <col min="16136" max="16137" width="10.7109375" customWidth="1"/>
  </cols>
  <sheetData>
    <row r="1" spans="1:9" ht="18" x14ac:dyDescent="0.25">
      <c r="A1" s="115" t="s">
        <v>160</v>
      </c>
      <c r="B1"/>
      <c r="C1"/>
      <c r="D1"/>
      <c r="E1"/>
      <c r="F1"/>
      <c r="G1" s="116"/>
      <c r="H1"/>
      <c r="I1"/>
    </row>
    <row r="2" spans="1:9" ht="12.75" x14ac:dyDescent="0.2">
      <c r="A2"/>
      <c r="B2"/>
      <c r="C2"/>
      <c r="D2"/>
      <c r="E2"/>
      <c r="F2"/>
      <c r="G2" s="116"/>
      <c r="H2"/>
      <c r="I2"/>
    </row>
    <row r="3" spans="1:9" ht="12.75" x14ac:dyDescent="0.2">
      <c r="A3" s="373" t="s">
        <v>406</v>
      </c>
      <c r="B3" s="374" t="s">
        <v>407</v>
      </c>
      <c r="C3"/>
      <c r="D3"/>
      <c r="E3"/>
      <c r="F3"/>
      <c r="G3" s="116"/>
      <c r="H3" s="5" t="s">
        <v>408</v>
      </c>
      <c r="I3" s="5"/>
    </row>
    <row r="4" spans="1:9" ht="12.75" x14ac:dyDescent="0.2">
      <c r="A4" s="5" t="s">
        <v>409</v>
      </c>
      <c r="B4" s="374" t="s">
        <v>410</v>
      </c>
      <c r="C4"/>
      <c r="D4"/>
      <c r="E4"/>
      <c r="F4"/>
      <c r="G4" s="116"/>
      <c r="H4" s="5" t="s">
        <v>411</v>
      </c>
      <c r="I4" s="119"/>
    </row>
    <row r="5" spans="1:9" ht="12.75" x14ac:dyDescent="0.2">
      <c r="A5" s="5" t="s">
        <v>412</v>
      </c>
      <c r="B5" s="119" t="s">
        <v>413</v>
      </c>
      <c r="C5"/>
      <c r="D5"/>
      <c r="E5"/>
      <c r="F5"/>
      <c r="G5" s="116"/>
      <c r="H5" s="5" t="s">
        <v>414</v>
      </c>
      <c r="I5" s="120"/>
    </row>
    <row r="6" spans="1:9" ht="12.75" x14ac:dyDescent="0.2">
      <c r="A6" s="5"/>
      <c r="B6" s="119"/>
      <c r="C6"/>
      <c r="D6"/>
      <c r="E6"/>
      <c r="F6"/>
      <c r="G6" s="116"/>
      <c r="H6" s="5"/>
      <c r="I6" s="120"/>
    </row>
    <row r="7" spans="1:9" ht="12.75" x14ac:dyDescent="0.2">
      <c r="A7" s="121"/>
      <c r="B7" s="119"/>
      <c r="C7"/>
      <c r="D7"/>
      <c r="E7"/>
      <c r="F7"/>
      <c r="G7" s="116"/>
      <c r="H7" s="121"/>
      <c r="I7" s="120"/>
    </row>
    <row r="8" spans="1:9" x14ac:dyDescent="0.2">
      <c r="A8" s="123" t="s">
        <v>168</v>
      </c>
    </row>
    <row r="9" spans="1:9" ht="12.75" x14ac:dyDescent="0.2">
      <c r="A9" s="375"/>
      <c r="B9" s="376" t="s">
        <v>415</v>
      </c>
      <c r="C9" s="128" t="s">
        <v>170</v>
      </c>
      <c r="D9" s="129"/>
      <c r="E9" s="377"/>
      <c r="F9" s="378"/>
      <c r="G9" s="132">
        <v>2180</v>
      </c>
      <c r="H9" s="133" t="s">
        <v>171</v>
      </c>
      <c r="I9" s="134"/>
    </row>
    <row r="10" spans="1:9" ht="12.75" x14ac:dyDescent="0.2">
      <c r="A10" s="375"/>
      <c r="B10" s="376" t="s">
        <v>172</v>
      </c>
      <c r="C10" s="135" t="s">
        <v>173</v>
      </c>
      <c r="D10" s="377"/>
      <c r="E10" s="377"/>
      <c r="F10" s="378"/>
      <c r="G10" s="136">
        <v>600</v>
      </c>
      <c r="H10" s="137" t="s">
        <v>174</v>
      </c>
      <c r="I10" s="138"/>
    </row>
    <row r="11" spans="1:9" ht="12.75" x14ac:dyDescent="0.2">
      <c r="A11" s="375"/>
      <c r="B11" s="376" t="s">
        <v>175</v>
      </c>
      <c r="C11" s="128" t="s">
        <v>176</v>
      </c>
      <c r="D11" s="129"/>
      <c r="E11" s="377"/>
      <c r="F11" s="378"/>
      <c r="G11" s="136">
        <v>40</v>
      </c>
      <c r="H11" s="137" t="s">
        <v>174</v>
      </c>
      <c r="I11" s="138"/>
    </row>
    <row r="12" spans="1:9" ht="12.75" x14ac:dyDescent="0.2">
      <c r="A12" s="375"/>
      <c r="B12" s="376" t="s">
        <v>177</v>
      </c>
      <c r="C12" s="128" t="s">
        <v>178</v>
      </c>
      <c r="D12" s="129"/>
      <c r="E12" s="377"/>
      <c r="F12" s="378"/>
      <c r="G12" s="136">
        <v>4</v>
      </c>
      <c r="H12" s="139" t="s">
        <v>179</v>
      </c>
      <c r="I12" s="138"/>
    </row>
    <row r="13" spans="1:9" ht="12.75" x14ac:dyDescent="0.2">
      <c r="A13" s="375"/>
      <c r="B13" s="376" t="s">
        <v>180</v>
      </c>
      <c r="C13" s="128"/>
      <c r="D13" s="129"/>
      <c r="E13" s="377"/>
      <c r="F13" s="378"/>
      <c r="G13" s="140" t="s">
        <v>478</v>
      </c>
      <c r="H13" s="139"/>
      <c r="I13" s="138"/>
    </row>
    <row r="14" spans="1:9" ht="15.75" x14ac:dyDescent="0.2">
      <c r="A14" s="375"/>
      <c r="B14" s="376" t="s">
        <v>182</v>
      </c>
      <c r="C14" s="135" t="s">
        <v>183</v>
      </c>
      <c r="D14" s="377"/>
      <c r="E14" s="377"/>
      <c r="F14" s="378"/>
      <c r="G14" s="141">
        <f>VLOOKUP(G13,钢筋强度和模量!$A$2:$F$15,2)</f>
        <v>14.3</v>
      </c>
      <c r="H14" s="137" t="s">
        <v>184</v>
      </c>
      <c r="I14" s="379"/>
    </row>
    <row r="15" spans="1:9" ht="15.75" x14ac:dyDescent="0.2">
      <c r="A15" s="375"/>
      <c r="B15" s="376" t="s">
        <v>236</v>
      </c>
      <c r="C15" s="135" t="s">
        <v>237</v>
      </c>
      <c r="D15" s="377"/>
      <c r="E15" s="377"/>
      <c r="F15" s="378"/>
      <c r="G15" s="141">
        <f>VLOOKUP(G13,钢筋强度和模量!$A$2:$F$15,4)</f>
        <v>20.100000000000001</v>
      </c>
      <c r="H15" s="137" t="s">
        <v>184</v>
      </c>
      <c r="I15" s="196"/>
    </row>
    <row r="16" spans="1:9" ht="15.75" x14ac:dyDescent="0.2">
      <c r="A16" s="375"/>
      <c r="B16" s="376" t="s">
        <v>185</v>
      </c>
      <c r="C16" s="135" t="s">
        <v>186</v>
      </c>
      <c r="D16" s="377"/>
      <c r="E16" s="377"/>
      <c r="F16" s="142"/>
      <c r="G16" s="141">
        <f>VLOOKUP(G13,钢筋强度和模量!$A$2:$F$15,5)</f>
        <v>2.0099999999999998</v>
      </c>
      <c r="H16" s="137" t="s">
        <v>184</v>
      </c>
      <c r="I16" s="138"/>
    </row>
    <row r="17" spans="1:9" ht="12.75" x14ac:dyDescent="0.2">
      <c r="A17" s="375"/>
      <c r="B17" s="376" t="s">
        <v>187</v>
      </c>
      <c r="C17" s="135"/>
      <c r="D17" s="377"/>
      <c r="E17" s="377"/>
      <c r="F17" s="142"/>
      <c r="G17" s="140" t="s">
        <v>479</v>
      </c>
      <c r="H17" s="137"/>
      <c r="I17" s="138"/>
    </row>
    <row r="18" spans="1:9" ht="15.75" x14ac:dyDescent="0.2">
      <c r="A18" s="375"/>
      <c r="B18" s="376" t="s">
        <v>188</v>
      </c>
      <c r="C18" s="135" t="s">
        <v>189</v>
      </c>
      <c r="D18" s="377"/>
      <c r="E18" s="377"/>
      <c r="F18" s="378"/>
      <c r="G18" s="143">
        <f>VLOOKUP(G17,钢筋强度和模量!$A$18:$F$21,2)</f>
        <v>360</v>
      </c>
      <c r="H18" s="137" t="s">
        <v>184</v>
      </c>
      <c r="I18" s="138"/>
    </row>
    <row r="19" spans="1:9" ht="15.75" x14ac:dyDescent="0.2">
      <c r="A19" s="375"/>
      <c r="B19" s="376" t="s">
        <v>190</v>
      </c>
      <c r="C19" s="135" t="s">
        <v>191</v>
      </c>
      <c r="D19" s="377"/>
      <c r="E19" s="377"/>
      <c r="F19" s="142"/>
      <c r="G19" s="143">
        <f>VLOOKUP(G17,钢筋强度和模量!$A$18:$F$21,4)</f>
        <v>400</v>
      </c>
      <c r="H19" s="137" t="s">
        <v>184</v>
      </c>
      <c r="I19" s="138"/>
    </row>
    <row r="20" spans="1:9" ht="12.75" x14ac:dyDescent="0.2">
      <c r="A20" s="375"/>
      <c r="B20" s="376" t="s">
        <v>416</v>
      </c>
      <c r="C20" s="128" t="s">
        <v>193</v>
      </c>
      <c r="D20" s="377"/>
      <c r="E20" s="377"/>
      <c r="F20" s="378"/>
      <c r="G20" s="143">
        <f>PI()*G11^2/4*G12</f>
        <v>5026.5482457436692</v>
      </c>
      <c r="H20" s="137" t="s">
        <v>194</v>
      </c>
      <c r="I20" s="138"/>
    </row>
    <row r="21" spans="1:9" ht="12.75" x14ac:dyDescent="0.2">
      <c r="A21" s="375"/>
      <c r="B21" s="376" t="s">
        <v>195</v>
      </c>
      <c r="C21" s="128" t="s">
        <v>196</v>
      </c>
      <c r="D21" s="377"/>
      <c r="E21" s="377"/>
      <c r="F21" s="378"/>
      <c r="G21" s="144">
        <f>((G10-2*G22)*PI()-G11*G12)/G12</f>
        <v>352.69908169872411</v>
      </c>
      <c r="H21" s="137" t="s">
        <v>174</v>
      </c>
      <c r="I21" s="145" t="str">
        <f>IF(G21&gt;=60,"OK!,&gt;60mm","NOT OK!!")</f>
        <v>OK!,&gt;60mm</v>
      </c>
    </row>
    <row r="22" spans="1:9" ht="12.75" x14ac:dyDescent="0.2">
      <c r="A22" s="375"/>
      <c r="B22" s="376" t="s">
        <v>201</v>
      </c>
      <c r="C22" s="128" t="s">
        <v>417</v>
      </c>
      <c r="D22" s="129"/>
      <c r="E22" s="377"/>
      <c r="F22" s="378"/>
      <c r="G22" s="150">
        <v>50</v>
      </c>
      <c r="H22" s="137" t="s">
        <v>174</v>
      </c>
      <c r="I22" s="138"/>
    </row>
    <row r="23" spans="1:9" ht="15.75" x14ac:dyDescent="0.2">
      <c r="A23" s="375"/>
      <c r="B23" s="376" t="s">
        <v>203</v>
      </c>
      <c r="C23" s="128" t="s">
        <v>204</v>
      </c>
      <c r="D23" s="129"/>
      <c r="E23" s="377"/>
      <c r="F23" s="378"/>
      <c r="G23" s="143">
        <f>VLOOKUP(G17,钢筋强度和模量!$A$18:$F$21,6)</f>
        <v>200000</v>
      </c>
      <c r="H23" s="137" t="s">
        <v>184</v>
      </c>
      <c r="I23" s="138"/>
    </row>
    <row r="24" spans="1:9" ht="15.75" x14ac:dyDescent="0.35">
      <c r="A24" s="375"/>
      <c r="B24" s="376" t="s">
        <v>418</v>
      </c>
      <c r="C24" s="151" t="s">
        <v>206</v>
      </c>
      <c r="D24" s="377"/>
      <c r="E24" s="152"/>
      <c r="F24" s="378"/>
      <c r="G24" s="153">
        <f>G20/(G10*G10*PI()/4)</f>
        <v>1.7777777777777778E-2</v>
      </c>
      <c r="H24" s="148"/>
      <c r="I24" s="145" t="str">
        <f>IF(G24&gt;=0.0065,"OK!,&gt;0.65%","NOT OK!!")</f>
        <v>OK!,&gt;0.65%</v>
      </c>
    </row>
    <row r="25" spans="1:9" ht="12.75" x14ac:dyDescent="0.2">
      <c r="A25" s="380"/>
      <c r="B25" s="380"/>
      <c r="C25" s="165"/>
      <c r="D25" s="166"/>
      <c r="E25" s="381"/>
      <c r="F25" s="381"/>
      <c r="G25" s="168"/>
      <c r="H25" s="125"/>
      <c r="I25" s="381"/>
    </row>
    <row r="26" spans="1:9" ht="12.75" x14ac:dyDescent="0.2">
      <c r="A26" s="382" t="s">
        <v>419</v>
      </c>
      <c r="B26" s="383"/>
      <c r="C26" s="384"/>
      <c r="D26" s="172" t="s">
        <v>222</v>
      </c>
      <c r="E26" s="384"/>
      <c r="F26" s="381"/>
      <c r="G26" s="173">
        <f>1.35*G9</f>
        <v>2943</v>
      </c>
      <c r="H26" s="125" t="s">
        <v>64</v>
      </c>
      <c r="I26" s="381"/>
    </row>
    <row r="27" spans="1:9" ht="12.75" x14ac:dyDescent="0.2">
      <c r="A27" s="385" t="s">
        <v>420</v>
      </c>
      <c r="B27" s="181" t="s">
        <v>421</v>
      </c>
      <c r="C27" s="386"/>
      <c r="D27" s="134">
        <f>D28*G14*(0.25*PI()*G10^2)/1000</f>
        <v>3032.4223088775484</v>
      </c>
      <c r="E27" s="177" t="s">
        <v>67</v>
      </c>
      <c r="F27" s="134">
        <f>0.9*G20*G18/1000</f>
        <v>1628.6016316209489</v>
      </c>
      <c r="G27" s="177" t="s">
        <v>66</v>
      </c>
      <c r="H27" s="177">
        <f>D27+F27</f>
        <v>4661.0239404984968</v>
      </c>
      <c r="I27" s="177" t="s">
        <v>171</v>
      </c>
    </row>
    <row r="28" spans="1:9" ht="15.75" x14ac:dyDescent="0.25">
      <c r="A28" s="387"/>
      <c r="B28" s="388" t="s">
        <v>422</v>
      </c>
      <c r="C28" s="4"/>
      <c r="D28" s="389">
        <v>0.75</v>
      </c>
      <c r="E28" s="116" t="s">
        <v>423</v>
      </c>
      <c r="F28" s="390"/>
      <c r="G28" s="116"/>
      <c r="H28" s="178" t="str">
        <f>IF(H27&gt;G26,"OK,&gt;1.35Ns","Not OK")</f>
        <v>OK,&gt;1.35Ns</v>
      </c>
      <c r="I28" s="4"/>
    </row>
    <row r="29" spans="1:9" x14ac:dyDescent="0.2">
      <c r="A29" s="186" t="s">
        <v>424</v>
      </c>
    </row>
    <row r="30" spans="1:9" x14ac:dyDescent="0.2">
      <c r="A30" s="186" t="s">
        <v>425</v>
      </c>
    </row>
    <row r="31" spans="1:9" x14ac:dyDescent="0.2">
      <c r="A31" s="186" t="s">
        <v>426</v>
      </c>
      <c r="B31" s="388"/>
      <c r="C31" s="4"/>
      <c r="D31" s="389"/>
      <c r="E31" s="116"/>
      <c r="F31" s="390"/>
      <c r="G31" s="116"/>
      <c r="H31" s="178"/>
      <c r="I31" s="4"/>
    </row>
    <row r="33" spans="1:10" x14ac:dyDescent="0.2">
      <c r="A33" s="123" t="s">
        <v>232</v>
      </c>
      <c r="G33" s="124"/>
    </row>
    <row r="34" spans="1:10" ht="12.75" x14ac:dyDescent="0.2">
      <c r="A34" s="375"/>
      <c r="B34" s="376" t="s">
        <v>427</v>
      </c>
      <c r="C34" s="128" t="s">
        <v>428</v>
      </c>
      <c r="D34" s="129"/>
      <c r="E34" s="377"/>
      <c r="F34" s="378"/>
      <c r="G34" s="132">
        <v>11900</v>
      </c>
      <c r="H34" s="133" t="s">
        <v>171</v>
      </c>
      <c r="I34" s="134"/>
      <c r="J34">
        <f>G9*2*1.1</f>
        <v>4796</v>
      </c>
    </row>
    <row r="35" spans="1:10" ht="12.75" x14ac:dyDescent="0.2">
      <c r="A35" s="375"/>
      <c r="B35" s="376" t="s">
        <v>245</v>
      </c>
      <c r="C35" s="128" t="s">
        <v>429</v>
      </c>
      <c r="D35" s="129"/>
      <c r="E35" s="377"/>
      <c r="F35" s="378"/>
      <c r="G35" s="132">
        <v>13100</v>
      </c>
      <c r="H35" s="133" t="s">
        <v>171</v>
      </c>
      <c r="I35" s="134"/>
      <c r="J35">
        <f>G34+1110*1.1</f>
        <v>13121</v>
      </c>
    </row>
    <row r="36" spans="1:10" ht="12.75" x14ac:dyDescent="0.2">
      <c r="A36" s="375"/>
      <c r="B36" s="376" t="s">
        <v>172</v>
      </c>
      <c r="C36" s="135" t="s">
        <v>173</v>
      </c>
      <c r="D36" s="377"/>
      <c r="E36" s="377"/>
      <c r="F36" s="378"/>
      <c r="G36" s="136">
        <v>850</v>
      </c>
      <c r="H36" s="137" t="s">
        <v>174</v>
      </c>
      <c r="I36" s="138"/>
    </row>
    <row r="37" spans="1:10" ht="12.75" x14ac:dyDescent="0.2">
      <c r="A37" s="375"/>
      <c r="B37" s="376" t="s">
        <v>175</v>
      </c>
      <c r="C37" s="128" t="s">
        <v>176</v>
      </c>
      <c r="D37" s="129"/>
      <c r="E37" s="377"/>
      <c r="F37" s="378"/>
      <c r="G37" s="136">
        <v>32</v>
      </c>
      <c r="H37" s="137" t="s">
        <v>174</v>
      </c>
      <c r="I37" s="138"/>
    </row>
    <row r="38" spans="1:10" ht="12.75" x14ac:dyDescent="0.2">
      <c r="A38" s="375"/>
      <c r="B38" s="376" t="s">
        <v>177</v>
      </c>
      <c r="C38" s="128" t="s">
        <v>178</v>
      </c>
      <c r="D38" s="129"/>
      <c r="E38" s="377"/>
      <c r="F38" s="378"/>
      <c r="G38" s="136">
        <v>16</v>
      </c>
      <c r="H38" s="139" t="s">
        <v>179</v>
      </c>
      <c r="I38" s="138"/>
    </row>
    <row r="39" spans="1:10" ht="12.75" x14ac:dyDescent="0.2">
      <c r="A39" s="375"/>
      <c r="B39" s="376" t="s">
        <v>180</v>
      </c>
      <c r="C39" s="128"/>
      <c r="D39" s="129"/>
      <c r="E39" s="377"/>
      <c r="F39" s="378"/>
      <c r="G39" s="140" t="s">
        <v>430</v>
      </c>
      <c r="H39" s="139"/>
      <c r="I39" s="138"/>
    </row>
    <row r="40" spans="1:10" ht="15.75" x14ac:dyDescent="0.2">
      <c r="A40" s="375"/>
      <c r="B40" s="376" t="s">
        <v>182</v>
      </c>
      <c r="C40" s="135" t="s">
        <v>183</v>
      </c>
      <c r="D40" s="377"/>
      <c r="E40" s="377"/>
      <c r="F40" s="378"/>
      <c r="G40" s="141">
        <f>VLOOKUP(G39,钢筋强度和模量!$A$2:$F$15,2)</f>
        <v>14.3</v>
      </c>
      <c r="H40" s="137" t="s">
        <v>184</v>
      </c>
      <c r="I40" s="379"/>
    </row>
    <row r="41" spans="1:10" ht="15.75" x14ac:dyDescent="0.2">
      <c r="A41" s="375"/>
      <c r="B41" s="376" t="s">
        <v>236</v>
      </c>
      <c r="C41" s="135" t="s">
        <v>237</v>
      </c>
      <c r="D41" s="377"/>
      <c r="E41" s="377"/>
      <c r="F41" s="378"/>
      <c r="G41" s="141">
        <f>VLOOKUP(G39,钢筋强度和模量!$A$2:$F$15,4)</f>
        <v>20.100000000000001</v>
      </c>
      <c r="H41" s="137" t="s">
        <v>184</v>
      </c>
      <c r="I41" s="196"/>
    </row>
    <row r="42" spans="1:10" ht="15.75" x14ac:dyDescent="0.2">
      <c r="A42" s="375"/>
      <c r="B42" s="376" t="s">
        <v>185</v>
      </c>
      <c r="C42" s="135" t="s">
        <v>186</v>
      </c>
      <c r="D42" s="377"/>
      <c r="E42" s="377"/>
      <c r="F42" s="142"/>
      <c r="G42" s="141">
        <f>VLOOKUP(G39,钢筋强度和模量!$A$2:$F$15,5)</f>
        <v>2.0099999999999998</v>
      </c>
      <c r="H42" s="137" t="s">
        <v>184</v>
      </c>
      <c r="I42" s="138"/>
    </row>
    <row r="43" spans="1:10" ht="12.75" x14ac:dyDescent="0.2">
      <c r="A43" s="375"/>
      <c r="B43" s="376" t="s">
        <v>187</v>
      </c>
      <c r="C43" s="135"/>
      <c r="D43" s="377"/>
      <c r="E43" s="377"/>
      <c r="F43" s="142"/>
      <c r="G43" s="140" t="s">
        <v>431</v>
      </c>
      <c r="H43" s="137"/>
      <c r="I43" s="138"/>
    </row>
    <row r="44" spans="1:10" ht="15.75" x14ac:dyDescent="0.2">
      <c r="A44" s="375"/>
      <c r="B44" s="376" t="s">
        <v>188</v>
      </c>
      <c r="C44" s="135" t="s">
        <v>189</v>
      </c>
      <c r="D44" s="377"/>
      <c r="E44" s="377"/>
      <c r="F44" s="378"/>
      <c r="G44" s="143">
        <f>VLOOKUP(G43,钢筋强度和模量!$A$18:$F$21,2)</f>
        <v>360</v>
      </c>
      <c r="H44" s="137" t="s">
        <v>184</v>
      </c>
      <c r="I44" s="138"/>
    </row>
    <row r="45" spans="1:10" ht="15.75" x14ac:dyDescent="0.2">
      <c r="A45" s="375"/>
      <c r="B45" s="376" t="s">
        <v>190</v>
      </c>
      <c r="C45" s="135" t="s">
        <v>191</v>
      </c>
      <c r="D45" s="377"/>
      <c r="E45" s="377"/>
      <c r="F45" s="142"/>
      <c r="G45" s="143">
        <f>VLOOKUP(G43,钢筋强度和模量!$A$18:$F$21,4)</f>
        <v>400</v>
      </c>
      <c r="H45" s="137" t="s">
        <v>184</v>
      </c>
      <c r="I45" s="138"/>
    </row>
    <row r="46" spans="1:10" ht="12.75" x14ac:dyDescent="0.2">
      <c r="A46" s="375"/>
      <c r="B46" s="376" t="s">
        <v>416</v>
      </c>
      <c r="C46" s="128" t="s">
        <v>193</v>
      </c>
      <c r="D46" s="377"/>
      <c r="E46" s="377"/>
      <c r="F46" s="378"/>
      <c r="G46" s="143">
        <f>PI()*G37^2/4*G38</f>
        <v>12867.963509103793</v>
      </c>
      <c r="H46" s="137" t="s">
        <v>194</v>
      </c>
      <c r="I46" s="138"/>
    </row>
    <row r="47" spans="1:10" ht="12.75" x14ac:dyDescent="0.2">
      <c r="A47" s="375"/>
      <c r="B47" s="376" t="s">
        <v>195</v>
      </c>
      <c r="C47" s="128" t="s">
        <v>196</v>
      </c>
      <c r="D47" s="377"/>
      <c r="E47" s="377"/>
      <c r="F47" s="378"/>
      <c r="G47" s="144">
        <f>((G36-2*G48)*PI()-G37*G38)/G38</f>
        <v>111.33516482003432</v>
      </c>
      <c r="H47" s="137" t="s">
        <v>174</v>
      </c>
      <c r="I47" s="145" t="str">
        <f>IF(G47&gt;=60,"OK!,&gt;60mm","NOT OK!!")</f>
        <v>OK!,&gt;60mm</v>
      </c>
    </row>
    <row r="48" spans="1:10" ht="12.75" x14ac:dyDescent="0.2">
      <c r="A48" s="375"/>
      <c r="B48" s="376" t="s">
        <v>201</v>
      </c>
      <c r="C48" s="128" t="s">
        <v>417</v>
      </c>
      <c r="D48" s="129"/>
      <c r="E48" s="377"/>
      <c r="F48" s="378"/>
      <c r="G48" s="150">
        <v>60</v>
      </c>
      <c r="H48" s="137" t="s">
        <v>174</v>
      </c>
      <c r="I48" s="138"/>
    </row>
    <row r="49" spans="1:9" ht="15.75" x14ac:dyDescent="0.2">
      <c r="A49" s="375"/>
      <c r="B49" s="376" t="s">
        <v>203</v>
      </c>
      <c r="C49" s="128" t="s">
        <v>204</v>
      </c>
      <c r="D49" s="129"/>
      <c r="E49" s="377"/>
      <c r="F49" s="378"/>
      <c r="G49" s="143">
        <f>VLOOKUP(G43,钢筋强度和模量!$A$18:$F$21,6)</f>
        <v>200000</v>
      </c>
      <c r="H49" s="137" t="s">
        <v>184</v>
      </c>
      <c r="I49" s="138"/>
    </row>
    <row r="50" spans="1:9" ht="15.75" x14ac:dyDescent="0.35">
      <c r="A50" s="375"/>
      <c r="B50" s="376" t="s">
        <v>418</v>
      </c>
      <c r="C50" s="151" t="s">
        <v>206</v>
      </c>
      <c r="D50" s="377"/>
      <c r="E50" s="152"/>
      <c r="F50" s="378"/>
      <c r="G50" s="391">
        <f>G46/(G36*G36*PI()/4)</f>
        <v>2.267681660899654E-2</v>
      </c>
      <c r="H50" s="148"/>
      <c r="I50" s="145" t="str">
        <f>IF(G50&gt;=0.0065,"OK!,&gt;0.65%","NOT OK!!")</f>
        <v>OK!,&gt;0.65%</v>
      </c>
    </row>
    <row r="51" spans="1:9" ht="12.75" x14ac:dyDescent="0.2">
      <c r="A51" s="380"/>
      <c r="B51" s="380"/>
      <c r="C51" s="165"/>
      <c r="D51" s="166"/>
      <c r="E51" s="381"/>
      <c r="F51" s="381"/>
      <c r="G51" s="168"/>
      <c r="H51" s="125"/>
      <c r="I51" s="381"/>
    </row>
    <row r="52" spans="1:9" ht="12.75" x14ac:dyDescent="0.2">
      <c r="A52" s="382" t="s">
        <v>432</v>
      </c>
      <c r="B52" s="383"/>
      <c r="C52" s="384"/>
      <c r="D52" s="172"/>
      <c r="E52" s="384"/>
      <c r="F52" s="381"/>
      <c r="G52" s="173"/>
      <c r="H52" s="125"/>
      <c r="I52" s="381"/>
    </row>
    <row r="53" spans="1:9" ht="12.75" x14ac:dyDescent="0.2">
      <c r="A53" s="385" t="s">
        <v>420</v>
      </c>
      <c r="B53" s="181" t="s">
        <v>433</v>
      </c>
      <c r="C53" s="386"/>
      <c r="D53" s="134">
        <f>D54*G41*(0.25*PI()*G36^2)/1000</f>
        <v>8554.3113587989446</v>
      </c>
      <c r="E53" s="177" t="s">
        <v>67</v>
      </c>
      <c r="F53" s="134">
        <f>0.9*G46*G45/1000</f>
        <v>4632.4668632773655</v>
      </c>
      <c r="G53" s="177" t="s">
        <v>66</v>
      </c>
      <c r="H53" s="392">
        <f>D53+F53</f>
        <v>13186.778222076311</v>
      </c>
      <c r="I53" s="177" t="s">
        <v>171</v>
      </c>
    </row>
    <row r="54" spans="1:9" ht="15.75" x14ac:dyDescent="0.25">
      <c r="A54" s="387"/>
      <c r="B54" s="388" t="s">
        <v>422</v>
      </c>
      <c r="C54" s="4"/>
      <c r="D54" s="389">
        <v>0.75</v>
      </c>
      <c r="E54" s="116" t="s">
        <v>423</v>
      </c>
      <c r="F54" s="390"/>
      <c r="G54" s="116"/>
      <c r="H54" s="393"/>
    </row>
    <row r="55" spans="1:9" x14ac:dyDescent="0.2">
      <c r="A55" s="186" t="s">
        <v>434</v>
      </c>
    </row>
    <row r="56" spans="1:9" x14ac:dyDescent="0.2">
      <c r="A56" s="186" t="s">
        <v>425</v>
      </c>
    </row>
    <row r="58" spans="1:9" ht="12.75" x14ac:dyDescent="0.2">
      <c r="A58" s="375"/>
      <c r="B58" s="376" t="s">
        <v>435</v>
      </c>
      <c r="C58" s="394" t="s">
        <v>170</v>
      </c>
      <c r="D58" s="129"/>
      <c r="E58" s="377"/>
      <c r="F58" s="378"/>
      <c r="G58" s="132">
        <f>G35</f>
        <v>13100</v>
      </c>
      <c r="H58" s="133" t="s">
        <v>171</v>
      </c>
      <c r="I58" s="395"/>
    </row>
    <row r="59" spans="1:9" x14ac:dyDescent="0.2">
      <c r="B59" s="116"/>
      <c r="G59" s="396" t="str">
        <f>IF(H53&gt;G58,"OK!,&gt;Ns","Not OK!")</f>
        <v>OK!,&gt;Ns</v>
      </c>
    </row>
  </sheetData>
  <phoneticPr fontId="14" type="noConversion"/>
  <pageMargins left="0.7" right="0.7" top="0.75" bottom="0.75" header="0.3" footer="0.3"/>
  <pageSetup paperSize="9" scale="74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2"/>
  <sheetViews>
    <sheetView view="pageBreakPreview" zoomScaleNormal="100" zoomScaleSheetLayoutView="100" workbookViewId="0">
      <selection activeCell="G20" sqref="G20"/>
    </sheetView>
  </sheetViews>
  <sheetFormatPr defaultRowHeight="15" x14ac:dyDescent="0.2"/>
  <cols>
    <col min="1" max="1" width="14.7109375" style="124" customWidth="1"/>
    <col min="2" max="2" width="15.7109375" style="124" customWidth="1"/>
    <col min="3" max="3" width="15.28515625" style="124" customWidth="1"/>
    <col min="4" max="6" width="14.7109375" style="124" customWidth="1"/>
    <col min="7" max="7" width="13.140625" style="125" customWidth="1"/>
    <col min="8" max="9" width="10.7109375" style="124" customWidth="1"/>
    <col min="10" max="10" width="5.7109375" customWidth="1"/>
    <col min="11" max="11" width="6.7109375" customWidth="1"/>
    <col min="257" max="257" width="14.7109375" customWidth="1"/>
    <col min="258" max="258" width="15.7109375" customWidth="1"/>
    <col min="259" max="259" width="15.28515625" customWidth="1"/>
    <col min="260" max="262" width="14.7109375" customWidth="1"/>
    <col min="263" max="263" width="13.140625" customWidth="1"/>
    <col min="264" max="265" width="10.7109375" customWidth="1"/>
    <col min="266" max="266" width="5.7109375" customWidth="1"/>
    <col min="267" max="267" width="6.7109375" customWidth="1"/>
    <col min="513" max="513" width="14.7109375" customWidth="1"/>
    <col min="514" max="514" width="15.7109375" customWidth="1"/>
    <col min="515" max="515" width="15.28515625" customWidth="1"/>
    <col min="516" max="518" width="14.7109375" customWidth="1"/>
    <col min="519" max="519" width="13.140625" customWidth="1"/>
    <col min="520" max="521" width="10.7109375" customWidth="1"/>
    <col min="522" max="522" width="5.7109375" customWidth="1"/>
    <col min="523" max="523" width="6.7109375" customWidth="1"/>
    <col min="769" max="769" width="14.7109375" customWidth="1"/>
    <col min="770" max="770" width="15.7109375" customWidth="1"/>
    <col min="771" max="771" width="15.28515625" customWidth="1"/>
    <col min="772" max="774" width="14.7109375" customWidth="1"/>
    <col min="775" max="775" width="13.140625" customWidth="1"/>
    <col min="776" max="777" width="10.7109375" customWidth="1"/>
    <col min="778" max="778" width="5.7109375" customWidth="1"/>
    <col min="779" max="779" width="6.7109375" customWidth="1"/>
    <col min="1025" max="1025" width="14.7109375" customWidth="1"/>
    <col min="1026" max="1026" width="15.7109375" customWidth="1"/>
    <col min="1027" max="1027" width="15.28515625" customWidth="1"/>
    <col min="1028" max="1030" width="14.7109375" customWidth="1"/>
    <col min="1031" max="1031" width="13.140625" customWidth="1"/>
    <col min="1032" max="1033" width="10.7109375" customWidth="1"/>
    <col min="1034" max="1034" width="5.7109375" customWidth="1"/>
    <col min="1035" max="1035" width="6.7109375" customWidth="1"/>
    <col min="1281" max="1281" width="14.7109375" customWidth="1"/>
    <col min="1282" max="1282" width="15.7109375" customWidth="1"/>
    <col min="1283" max="1283" width="15.28515625" customWidth="1"/>
    <col min="1284" max="1286" width="14.7109375" customWidth="1"/>
    <col min="1287" max="1287" width="13.140625" customWidth="1"/>
    <col min="1288" max="1289" width="10.7109375" customWidth="1"/>
    <col min="1290" max="1290" width="5.7109375" customWidth="1"/>
    <col min="1291" max="1291" width="6.7109375" customWidth="1"/>
    <col min="1537" max="1537" width="14.7109375" customWidth="1"/>
    <col min="1538" max="1538" width="15.7109375" customWidth="1"/>
    <col min="1539" max="1539" width="15.28515625" customWidth="1"/>
    <col min="1540" max="1542" width="14.7109375" customWidth="1"/>
    <col min="1543" max="1543" width="13.140625" customWidth="1"/>
    <col min="1544" max="1545" width="10.7109375" customWidth="1"/>
    <col min="1546" max="1546" width="5.7109375" customWidth="1"/>
    <col min="1547" max="1547" width="6.7109375" customWidth="1"/>
    <col min="1793" max="1793" width="14.7109375" customWidth="1"/>
    <col min="1794" max="1794" width="15.7109375" customWidth="1"/>
    <col min="1795" max="1795" width="15.28515625" customWidth="1"/>
    <col min="1796" max="1798" width="14.7109375" customWidth="1"/>
    <col min="1799" max="1799" width="13.140625" customWidth="1"/>
    <col min="1800" max="1801" width="10.7109375" customWidth="1"/>
    <col min="1802" max="1802" width="5.7109375" customWidth="1"/>
    <col min="1803" max="1803" width="6.7109375" customWidth="1"/>
    <col min="2049" max="2049" width="14.7109375" customWidth="1"/>
    <col min="2050" max="2050" width="15.7109375" customWidth="1"/>
    <col min="2051" max="2051" width="15.28515625" customWidth="1"/>
    <col min="2052" max="2054" width="14.7109375" customWidth="1"/>
    <col min="2055" max="2055" width="13.140625" customWidth="1"/>
    <col min="2056" max="2057" width="10.7109375" customWidth="1"/>
    <col min="2058" max="2058" width="5.7109375" customWidth="1"/>
    <col min="2059" max="2059" width="6.7109375" customWidth="1"/>
    <col min="2305" max="2305" width="14.7109375" customWidth="1"/>
    <col min="2306" max="2306" width="15.7109375" customWidth="1"/>
    <col min="2307" max="2307" width="15.28515625" customWidth="1"/>
    <col min="2308" max="2310" width="14.7109375" customWidth="1"/>
    <col min="2311" max="2311" width="13.140625" customWidth="1"/>
    <col min="2312" max="2313" width="10.7109375" customWidth="1"/>
    <col min="2314" max="2314" width="5.7109375" customWidth="1"/>
    <col min="2315" max="2315" width="6.7109375" customWidth="1"/>
    <col min="2561" max="2561" width="14.7109375" customWidth="1"/>
    <col min="2562" max="2562" width="15.7109375" customWidth="1"/>
    <col min="2563" max="2563" width="15.28515625" customWidth="1"/>
    <col min="2564" max="2566" width="14.7109375" customWidth="1"/>
    <col min="2567" max="2567" width="13.140625" customWidth="1"/>
    <col min="2568" max="2569" width="10.7109375" customWidth="1"/>
    <col min="2570" max="2570" width="5.7109375" customWidth="1"/>
    <col min="2571" max="2571" width="6.7109375" customWidth="1"/>
    <col min="2817" max="2817" width="14.7109375" customWidth="1"/>
    <col min="2818" max="2818" width="15.7109375" customWidth="1"/>
    <col min="2819" max="2819" width="15.28515625" customWidth="1"/>
    <col min="2820" max="2822" width="14.7109375" customWidth="1"/>
    <col min="2823" max="2823" width="13.140625" customWidth="1"/>
    <col min="2824" max="2825" width="10.7109375" customWidth="1"/>
    <col min="2826" max="2826" width="5.7109375" customWidth="1"/>
    <col min="2827" max="2827" width="6.7109375" customWidth="1"/>
    <col min="3073" max="3073" width="14.7109375" customWidth="1"/>
    <col min="3074" max="3074" width="15.7109375" customWidth="1"/>
    <col min="3075" max="3075" width="15.28515625" customWidth="1"/>
    <col min="3076" max="3078" width="14.7109375" customWidth="1"/>
    <col min="3079" max="3079" width="13.140625" customWidth="1"/>
    <col min="3080" max="3081" width="10.7109375" customWidth="1"/>
    <col min="3082" max="3082" width="5.7109375" customWidth="1"/>
    <col min="3083" max="3083" width="6.7109375" customWidth="1"/>
    <col min="3329" max="3329" width="14.7109375" customWidth="1"/>
    <col min="3330" max="3330" width="15.7109375" customWidth="1"/>
    <col min="3331" max="3331" width="15.28515625" customWidth="1"/>
    <col min="3332" max="3334" width="14.7109375" customWidth="1"/>
    <col min="3335" max="3335" width="13.140625" customWidth="1"/>
    <col min="3336" max="3337" width="10.7109375" customWidth="1"/>
    <col min="3338" max="3338" width="5.7109375" customWidth="1"/>
    <col min="3339" max="3339" width="6.7109375" customWidth="1"/>
    <col min="3585" max="3585" width="14.7109375" customWidth="1"/>
    <col min="3586" max="3586" width="15.7109375" customWidth="1"/>
    <col min="3587" max="3587" width="15.28515625" customWidth="1"/>
    <col min="3588" max="3590" width="14.7109375" customWidth="1"/>
    <col min="3591" max="3591" width="13.140625" customWidth="1"/>
    <col min="3592" max="3593" width="10.7109375" customWidth="1"/>
    <col min="3594" max="3594" width="5.7109375" customWidth="1"/>
    <col min="3595" max="3595" width="6.7109375" customWidth="1"/>
    <col min="3841" max="3841" width="14.7109375" customWidth="1"/>
    <col min="3842" max="3842" width="15.7109375" customWidth="1"/>
    <col min="3843" max="3843" width="15.28515625" customWidth="1"/>
    <col min="3844" max="3846" width="14.7109375" customWidth="1"/>
    <col min="3847" max="3847" width="13.140625" customWidth="1"/>
    <col min="3848" max="3849" width="10.7109375" customWidth="1"/>
    <col min="3850" max="3850" width="5.7109375" customWidth="1"/>
    <col min="3851" max="3851" width="6.7109375" customWidth="1"/>
    <col min="4097" max="4097" width="14.7109375" customWidth="1"/>
    <col min="4098" max="4098" width="15.7109375" customWidth="1"/>
    <col min="4099" max="4099" width="15.28515625" customWidth="1"/>
    <col min="4100" max="4102" width="14.7109375" customWidth="1"/>
    <col min="4103" max="4103" width="13.140625" customWidth="1"/>
    <col min="4104" max="4105" width="10.7109375" customWidth="1"/>
    <col min="4106" max="4106" width="5.7109375" customWidth="1"/>
    <col min="4107" max="4107" width="6.7109375" customWidth="1"/>
    <col min="4353" max="4353" width="14.7109375" customWidth="1"/>
    <col min="4354" max="4354" width="15.7109375" customWidth="1"/>
    <col min="4355" max="4355" width="15.28515625" customWidth="1"/>
    <col min="4356" max="4358" width="14.7109375" customWidth="1"/>
    <col min="4359" max="4359" width="13.140625" customWidth="1"/>
    <col min="4360" max="4361" width="10.7109375" customWidth="1"/>
    <col min="4362" max="4362" width="5.7109375" customWidth="1"/>
    <col min="4363" max="4363" width="6.7109375" customWidth="1"/>
    <col min="4609" max="4609" width="14.7109375" customWidth="1"/>
    <col min="4610" max="4610" width="15.7109375" customWidth="1"/>
    <col min="4611" max="4611" width="15.28515625" customWidth="1"/>
    <col min="4612" max="4614" width="14.7109375" customWidth="1"/>
    <col min="4615" max="4615" width="13.140625" customWidth="1"/>
    <col min="4616" max="4617" width="10.7109375" customWidth="1"/>
    <col min="4618" max="4618" width="5.7109375" customWidth="1"/>
    <col min="4619" max="4619" width="6.7109375" customWidth="1"/>
    <col min="4865" max="4865" width="14.7109375" customWidth="1"/>
    <col min="4866" max="4866" width="15.7109375" customWidth="1"/>
    <col min="4867" max="4867" width="15.28515625" customWidth="1"/>
    <col min="4868" max="4870" width="14.7109375" customWidth="1"/>
    <col min="4871" max="4871" width="13.140625" customWidth="1"/>
    <col min="4872" max="4873" width="10.7109375" customWidth="1"/>
    <col min="4874" max="4874" width="5.7109375" customWidth="1"/>
    <col min="4875" max="4875" width="6.7109375" customWidth="1"/>
    <col min="5121" max="5121" width="14.7109375" customWidth="1"/>
    <col min="5122" max="5122" width="15.7109375" customWidth="1"/>
    <col min="5123" max="5123" width="15.28515625" customWidth="1"/>
    <col min="5124" max="5126" width="14.7109375" customWidth="1"/>
    <col min="5127" max="5127" width="13.140625" customWidth="1"/>
    <col min="5128" max="5129" width="10.7109375" customWidth="1"/>
    <col min="5130" max="5130" width="5.7109375" customWidth="1"/>
    <col min="5131" max="5131" width="6.7109375" customWidth="1"/>
    <col min="5377" max="5377" width="14.7109375" customWidth="1"/>
    <col min="5378" max="5378" width="15.7109375" customWidth="1"/>
    <col min="5379" max="5379" width="15.28515625" customWidth="1"/>
    <col min="5380" max="5382" width="14.7109375" customWidth="1"/>
    <col min="5383" max="5383" width="13.140625" customWidth="1"/>
    <col min="5384" max="5385" width="10.7109375" customWidth="1"/>
    <col min="5386" max="5386" width="5.7109375" customWidth="1"/>
    <col min="5387" max="5387" width="6.7109375" customWidth="1"/>
    <col min="5633" max="5633" width="14.7109375" customWidth="1"/>
    <col min="5634" max="5634" width="15.7109375" customWidth="1"/>
    <col min="5635" max="5635" width="15.28515625" customWidth="1"/>
    <col min="5636" max="5638" width="14.7109375" customWidth="1"/>
    <col min="5639" max="5639" width="13.140625" customWidth="1"/>
    <col min="5640" max="5641" width="10.7109375" customWidth="1"/>
    <col min="5642" max="5642" width="5.7109375" customWidth="1"/>
    <col min="5643" max="5643" width="6.7109375" customWidth="1"/>
    <col min="5889" max="5889" width="14.7109375" customWidth="1"/>
    <col min="5890" max="5890" width="15.7109375" customWidth="1"/>
    <col min="5891" max="5891" width="15.28515625" customWidth="1"/>
    <col min="5892" max="5894" width="14.7109375" customWidth="1"/>
    <col min="5895" max="5895" width="13.140625" customWidth="1"/>
    <col min="5896" max="5897" width="10.7109375" customWidth="1"/>
    <col min="5898" max="5898" width="5.7109375" customWidth="1"/>
    <col min="5899" max="5899" width="6.7109375" customWidth="1"/>
    <col min="6145" max="6145" width="14.7109375" customWidth="1"/>
    <col min="6146" max="6146" width="15.7109375" customWidth="1"/>
    <col min="6147" max="6147" width="15.28515625" customWidth="1"/>
    <col min="6148" max="6150" width="14.7109375" customWidth="1"/>
    <col min="6151" max="6151" width="13.140625" customWidth="1"/>
    <col min="6152" max="6153" width="10.7109375" customWidth="1"/>
    <col min="6154" max="6154" width="5.7109375" customWidth="1"/>
    <col min="6155" max="6155" width="6.7109375" customWidth="1"/>
    <col min="6401" max="6401" width="14.7109375" customWidth="1"/>
    <col min="6402" max="6402" width="15.7109375" customWidth="1"/>
    <col min="6403" max="6403" width="15.28515625" customWidth="1"/>
    <col min="6404" max="6406" width="14.7109375" customWidth="1"/>
    <col min="6407" max="6407" width="13.140625" customWidth="1"/>
    <col min="6408" max="6409" width="10.7109375" customWidth="1"/>
    <col min="6410" max="6410" width="5.7109375" customWidth="1"/>
    <col min="6411" max="6411" width="6.7109375" customWidth="1"/>
    <col min="6657" max="6657" width="14.7109375" customWidth="1"/>
    <col min="6658" max="6658" width="15.7109375" customWidth="1"/>
    <col min="6659" max="6659" width="15.28515625" customWidth="1"/>
    <col min="6660" max="6662" width="14.7109375" customWidth="1"/>
    <col min="6663" max="6663" width="13.140625" customWidth="1"/>
    <col min="6664" max="6665" width="10.7109375" customWidth="1"/>
    <col min="6666" max="6666" width="5.7109375" customWidth="1"/>
    <col min="6667" max="6667" width="6.7109375" customWidth="1"/>
    <col min="6913" max="6913" width="14.7109375" customWidth="1"/>
    <col min="6914" max="6914" width="15.7109375" customWidth="1"/>
    <col min="6915" max="6915" width="15.28515625" customWidth="1"/>
    <col min="6916" max="6918" width="14.7109375" customWidth="1"/>
    <col min="6919" max="6919" width="13.140625" customWidth="1"/>
    <col min="6920" max="6921" width="10.7109375" customWidth="1"/>
    <col min="6922" max="6922" width="5.7109375" customWidth="1"/>
    <col min="6923" max="6923" width="6.7109375" customWidth="1"/>
    <col min="7169" max="7169" width="14.7109375" customWidth="1"/>
    <col min="7170" max="7170" width="15.7109375" customWidth="1"/>
    <col min="7171" max="7171" width="15.28515625" customWidth="1"/>
    <col min="7172" max="7174" width="14.7109375" customWidth="1"/>
    <col min="7175" max="7175" width="13.140625" customWidth="1"/>
    <col min="7176" max="7177" width="10.7109375" customWidth="1"/>
    <col min="7178" max="7178" width="5.7109375" customWidth="1"/>
    <col min="7179" max="7179" width="6.7109375" customWidth="1"/>
    <col min="7425" max="7425" width="14.7109375" customWidth="1"/>
    <col min="7426" max="7426" width="15.7109375" customWidth="1"/>
    <col min="7427" max="7427" width="15.28515625" customWidth="1"/>
    <col min="7428" max="7430" width="14.7109375" customWidth="1"/>
    <col min="7431" max="7431" width="13.140625" customWidth="1"/>
    <col min="7432" max="7433" width="10.7109375" customWidth="1"/>
    <col min="7434" max="7434" width="5.7109375" customWidth="1"/>
    <col min="7435" max="7435" width="6.7109375" customWidth="1"/>
    <col min="7681" max="7681" width="14.7109375" customWidth="1"/>
    <col min="7682" max="7682" width="15.7109375" customWidth="1"/>
    <col min="7683" max="7683" width="15.28515625" customWidth="1"/>
    <col min="7684" max="7686" width="14.7109375" customWidth="1"/>
    <col min="7687" max="7687" width="13.140625" customWidth="1"/>
    <col min="7688" max="7689" width="10.7109375" customWidth="1"/>
    <col min="7690" max="7690" width="5.7109375" customWidth="1"/>
    <col min="7691" max="7691" width="6.7109375" customWidth="1"/>
    <col min="7937" max="7937" width="14.7109375" customWidth="1"/>
    <col min="7938" max="7938" width="15.7109375" customWidth="1"/>
    <col min="7939" max="7939" width="15.28515625" customWidth="1"/>
    <col min="7940" max="7942" width="14.7109375" customWidth="1"/>
    <col min="7943" max="7943" width="13.140625" customWidth="1"/>
    <col min="7944" max="7945" width="10.7109375" customWidth="1"/>
    <col min="7946" max="7946" width="5.7109375" customWidth="1"/>
    <col min="7947" max="7947" width="6.7109375" customWidth="1"/>
    <col min="8193" max="8193" width="14.7109375" customWidth="1"/>
    <col min="8194" max="8194" width="15.7109375" customWidth="1"/>
    <col min="8195" max="8195" width="15.28515625" customWidth="1"/>
    <col min="8196" max="8198" width="14.7109375" customWidth="1"/>
    <col min="8199" max="8199" width="13.140625" customWidth="1"/>
    <col min="8200" max="8201" width="10.7109375" customWidth="1"/>
    <col min="8202" max="8202" width="5.7109375" customWidth="1"/>
    <col min="8203" max="8203" width="6.7109375" customWidth="1"/>
    <col min="8449" max="8449" width="14.7109375" customWidth="1"/>
    <col min="8450" max="8450" width="15.7109375" customWidth="1"/>
    <col min="8451" max="8451" width="15.28515625" customWidth="1"/>
    <col min="8452" max="8454" width="14.7109375" customWidth="1"/>
    <col min="8455" max="8455" width="13.140625" customWidth="1"/>
    <col min="8456" max="8457" width="10.7109375" customWidth="1"/>
    <col min="8458" max="8458" width="5.7109375" customWidth="1"/>
    <col min="8459" max="8459" width="6.7109375" customWidth="1"/>
    <col min="8705" max="8705" width="14.7109375" customWidth="1"/>
    <col min="8706" max="8706" width="15.7109375" customWidth="1"/>
    <col min="8707" max="8707" width="15.28515625" customWidth="1"/>
    <col min="8708" max="8710" width="14.7109375" customWidth="1"/>
    <col min="8711" max="8711" width="13.140625" customWidth="1"/>
    <col min="8712" max="8713" width="10.7109375" customWidth="1"/>
    <col min="8714" max="8714" width="5.7109375" customWidth="1"/>
    <col min="8715" max="8715" width="6.7109375" customWidth="1"/>
    <col min="8961" max="8961" width="14.7109375" customWidth="1"/>
    <col min="8962" max="8962" width="15.7109375" customWidth="1"/>
    <col min="8963" max="8963" width="15.28515625" customWidth="1"/>
    <col min="8964" max="8966" width="14.7109375" customWidth="1"/>
    <col min="8967" max="8967" width="13.140625" customWidth="1"/>
    <col min="8968" max="8969" width="10.7109375" customWidth="1"/>
    <col min="8970" max="8970" width="5.7109375" customWidth="1"/>
    <col min="8971" max="8971" width="6.7109375" customWidth="1"/>
    <col min="9217" max="9217" width="14.7109375" customWidth="1"/>
    <col min="9218" max="9218" width="15.7109375" customWidth="1"/>
    <col min="9219" max="9219" width="15.28515625" customWidth="1"/>
    <col min="9220" max="9222" width="14.7109375" customWidth="1"/>
    <col min="9223" max="9223" width="13.140625" customWidth="1"/>
    <col min="9224" max="9225" width="10.7109375" customWidth="1"/>
    <col min="9226" max="9226" width="5.7109375" customWidth="1"/>
    <col min="9227" max="9227" width="6.7109375" customWidth="1"/>
    <col min="9473" max="9473" width="14.7109375" customWidth="1"/>
    <col min="9474" max="9474" width="15.7109375" customWidth="1"/>
    <col min="9475" max="9475" width="15.28515625" customWidth="1"/>
    <col min="9476" max="9478" width="14.7109375" customWidth="1"/>
    <col min="9479" max="9479" width="13.140625" customWidth="1"/>
    <col min="9480" max="9481" width="10.7109375" customWidth="1"/>
    <col min="9482" max="9482" width="5.7109375" customWidth="1"/>
    <col min="9483" max="9483" width="6.7109375" customWidth="1"/>
    <col min="9729" max="9729" width="14.7109375" customWidth="1"/>
    <col min="9730" max="9730" width="15.7109375" customWidth="1"/>
    <col min="9731" max="9731" width="15.28515625" customWidth="1"/>
    <col min="9732" max="9734" width="14.7109375" customWidth="1"/>
    <col min="9735" max="9735" width="13.140625" customWidth="1"/>
    <col min="9736" max="9737" width="10.7109375" customWidth="1"/>
    <col min="9738" max="9738" width="5.7109375" customWidth="1"/>
    <col min="9739" max="9739" width="6.7109375" customWidth="1"/>
    <col min="9985" max="9985" width="14.7109375" customWidth="1"/>
    <col min="9986" max="9986" width="15.7109375" customWidth="1"/>
    <col min="9987" max="9987" width="15.28515625" customWidth="1"/>
    <col min="9988" max="9990" width="14.7109375" customWidth="1"/>
    <col min="9991" max="9991" width="13.140625" customWidth="1"/>
    <col min="9992" max="9993" width="10.7109375" customWidth="1"/>
    <col min="9994" max="9994" width="5.7109375" customWidth="1"/>
    <col min="9995" max="9995" width="6.7109375" customWidth="1"/>
    <col min="10241" max="10241" width="14.7109375" customWidth="1"/>
    <col min="10242" max="10242" width="15.7109375" customWidth="1"/>
    <col min="10243" max="10243" width="15.28515625" customWidth="1"/>
    <col min="10244" max="10246" width="14.7109375" customWidth="1"/>
    <col min="10247" max="10247" width="13.140625" customWidth="1"/>
    <col min="10248" max="10249" width="10.7109375" customWidth="1"/>
    <col min="10250" max="10250" width="5.7109375" customWidth="1"/>
    <col min="10251" max="10251" width="6.7109375" customWidth="1"/>
    <col min="10497" max="10497" width="14.7109375" customWidth="1"/>
    <col min="10498" max="10498" width="15.7109375" customWidth="1"/>
    <col min="10499" max="10499" width="15.28515625" customWidth="1"/>
    <col min="10500" max="10502" width="14.7109375" customWidth="1"/>
    <col min="10503" max="10503" width="13.140625" customWidth="1"/>
    <col min="10504" max="10505" width="10.7109375" customWidth="1"/>
    <col min="10506" max="10506" width="5.7109375" customWidth="1"/>
    <col min="10507" max="10507" width="6.7109375" customWidth="1"/>
    <col min="10753" max="10753" width="14.7109375" customWidth="1"/>
    <col min="10754" max="10754" width="15.7109375" customWidth="1"/>
    <col min="10755" max="10755" width="15.28515625" customWidth="1"/>
    <col min="10756" max="10758" width="14.7109375" customWidth="1"/>
    <col min="10759" max="10759" width="13.140625" customWidth="1"/>
    <col min="10760" max="10761" width="10.7109375" customWidth="1"/>
    <col min="10762" max="10762" width="5.7109375" customWidth="1"/>
    <col min="10763" max="10763" width="6.7109375" customWidth="1"/>
    <col min="11009" max="11009" width="14.7109375" customWidth="1"/>
    <col min="11010" max="11010" width="15.7109375" customWidth="1"/>
    <col min="11011" max="11011" width="15.28515625" customWidth="1"/>
    <col min="11012" max="11014" width="14.7109375" customWidth="1"/>
    <col min="11015" max="11015" width="13.140625" customWidth="1"/>
    <col min="11016" max="11017" width="10.7109375" customWidth="1"/>
    <col min="11018" max="11018" width="5.7109375" customWidth="1"/>
    <col min="11019" max="11019" width="6.7109375" customWidth="1"/>
    <col min="11265" max="11265" width="14.7109375" customWidth="1"/>
    <col min="11266" max="11266" width="15.7109375" customWidth="1"/>
    <col min="11267" max="11267" width="15.28515625" customWidth="1"/>
    <col min="11268" max="11270" width="14.7109375" customWidth="1"/>
    <col min="11271" max="11271" width="13.140625" customWidth="1"/>
    <col min="11272" max="11273" width="10.7109375" customWidth="1"/>
    <col min="11274" max="11274" width="5.7109375" customWidth="1"/>
    <col min="11275" max="11275" width="6.7109375" customWidth="1"/>
    <col min="11521" max="11521" width="14.7109375" customWidth="1"/>
    <col min="11522" max="11522" width="15.7109375" customWidth="1"/>
    <col min="11523" max="11523" width="15.28515625" customWidth="1"/>
    <col min="11524" max="11526" width="14.7109375" customWidth="1"/>
    <col min="11527" max="11527" width="13.140625" customWidth="1"/>
    <col min="11528" max="11529" width="10.7109375" customWidth="1"/>
    <col min="11530" max="11530" width="5.7109375" customWidth="1"/>
    <col min="11531" max="11531" width="6.7109375" customWidth="1"/>
    <col min="11777" max="11777" width="14.7109375" customWidth="1"/>
    <col min="11778" max="11778" width="15.7109375" customWidth="1"/>
    <col min="11779" max="11779" width="15.28515625" customWidth="1"/>
    <col min="11780" max="11782" width="14.7109375" customWidth="1"/>
    <col min="11783" max="11783" width="13.140625" customWidth="1"/>
    <col min="11784" max="11785" width="10.7109375" customWidth="1"/>
    <col min="11786" max="11786" width="5.7109375" customWidth="1"/>
    <col min="11787" max="11787" width="6.7109375" customWidth="1"/>
    <col min="12033" max="12033" width="14.7109375" customWidth="1"/>
    <col min="12034" max="12034" width="15.7109375" customWidth="1"/>
    <col min="12035" max="12035" width="15.28515625" customWidth="1"/>
    <col min="12036" max="12038" width="14.7109375" customWidth="1"/>
    <col min="12039" max="12039" width="13.140625" customWidth="1"/>
    <col min="12040" max="12041" width="10.7109375" customWidth="1"/>
    <col min="12042" max="12042" width="5.7109375" customWidth="1"/>
    <col min="12043" max="12043" width="6.7109375" customWidth="1"/>
    <col min="12289" max="12289" width="14.7109375" customWidth="1"/>
    <col min="12290" max="12290" width="15.7109375" customWidth="1"/>
    <col min="12291" max="12291" width="15.28515625" customWidth="1"/>
    <col min="12292" max="12294" width="14.7109375" customWidth="1"/>
    <col min="12295" max="12295" width="13.140625" customWidth="1"/>
    <col min="12296" max="12297" width="10.7109375" customWidth="1"/>
    <col min="12298" max="12298" width="5.7109375" customWidth="1"/>
    <col min="12299" max="12299" width="6.7109375" customWidth="1"/>
    <col min="12545" max="12545" width="14.7109375" customWidth="1"/>
    <col min="12546" max="12546" width="15.7109375" customWidth="1"/>
    <col min="12547" max="12547" width="15.28515625" customWidth="1"/>
    <col min="12548" max="12550" width="14.7109375" customWidth="1"/>
    <col min="12551" max="12551" width="13.140625" customWidth="1"/>
    <col min="12552" max="12553" width="10.7109375" customWidth="1"/>
    <col min="12554" max="12554" width="5.7109375" customWidth="1"/>
    <col min="12555" max="12555" width="6.7109375" customWidth="1"/>
    <col min="12801" max="12801" width="14.7109375" customWidth="1"/>
    <col min="12802" max="12802" width="15.7109375" customWidth="1"/>
    <col min="12803" max="12803" width="15.28515625" customWidth="1"/>
    <col min="12804" max="12806" width="14.7109375" customWidth="1"/>
    <col min="12807" max="12807" width="13.140625" customWidth="1"/>
    <col min="12808" max="12809" width="10.7109375" customWidth="1"/>
    <col min="12810" max="12810" width="5.7109375" customWidth="1"/>
    <col min="12811" max="12811" width="6.7109375" customWidth="1"/>
    <col min="13057" max="13057" width="14.7109375" customWidth="1"/>
    <col min="13058" max="13058" width="15.7109375" customWidth="1"/>
    <col min="13059" max="13059" width="15.28515625" customWidth="1"/>
    <col min="13060" max="13062" width="14.7109375" customWidth="1"/>
    <col min="13063" max="13063" width="13.140625" customWidth="1"/>
    <col min="13064" max="13065" width="10.7109375" customWidth="1"/>
    <col min="13066" max="13066" width="5.7109375" customWidth="1"/>
    <col min="13067" max="13067" width="6.7109375" customWidth="1"/>
    <col min="13313" max="13313" width="14.7109375" customWidth="1"/>
    <col min="13314" max="13314" width="15.7109375" customWidth="1"/>
    <col min="13315" max="13315" width="15.28515625" customWidth="1"/>
    <col min="13316" max="13318" width="14.7109375" customWidth="1"/>
    <col min="13319" max="13319" width="13.140625" customWidth="1"/>
    <col min="13320" max="13321" width="10.7109375" customWidth="1"/>
    <col min="13322" max="13322" width="5.7109375" customWidth="1"/>
    <col min="13323" max="13323" width="6.7109375" customWidth="1"/>
    <col min="13569" max="13569" width="14.7109375" customWidth="1"/>
    <col min="13570" max="13570" width="15.7109375" customWidth="1"/>
    <col min="13571" max="13571" width="15.28515625" customWidth="1"/>
    <col min="13572" max="13574" width="14.7109375" customWidth="1"/>
    <col min="13575" max="13575" width="13.140625" customWidth="1"/>
    <col min="13576" max="13577" width="10.7109375" customWidth="1"/>
    <col min="13578" max="13578" width="5.7109375" customWidth="1"/>
    <col min="13579" max="13579" width="6.7109375" customWidth="1"/>
    <col min="13825" max="13825" width="14.7109375" customWidth="1"/>
    <col min="13826" max="13826" width="15.7109375" customWidth="1"/>
    <col min="13827" max="13827" width="15.28515625" customWidth="1"/>
    <col min="13828" max="13830" width="14.7109375" customWidth="1"/>
    <col min="13831" max="13831" width="13.140625" customWidth="1"/>
    <col min="13832" max="13833" width="10.7109375" customWidth="1"/>
    <col min="13834" max="13834" width="5.7109375" customWidth="1"/>
    <col min="13835" max="13835" width="6.7109375" customWidth="1"/>
    <col min="14081" max="14081" width="14.7109375" customWidth="1"/>
    <col min="14082" max="14082" width="15.7109375" customWidth="1"/>
    <col min="14083" max="14083" width="15.28515625" customWidth="1"/>
    <col min="14084" max="14086" width="14.7109375" customWidth="1"/>
    <col min="14087" max="14087" width="13.140625" customWidth="1"/>
    <col min="14088" max="14089" width="10.7109375" customWidth="1"/>
    <col min="14090" max="14090" width="5.7109375" customWidth="1"/>
    <col min="14091" max="14091" width="6.7109375" customWidth="1"/>
    <col min="14337" max="14337" width="14.7109375" customWidth="1"/>
    <col min="14338" max="14338" width="15.7109375" customWidth="1"/>
    <col min="14339" max="14339" width="15.28515625" customWidth="1"/>
    <col min="14340" max="14342" width="14.7109375" customWidth="1"/>
    <col min="14343" max="14343" width="13.140625" customWidth="1"/>
    <col min="14344" max="14345" width="10.7109375" customWidth="1"/>
    <col min="14346" max="14346" width="5.7109375" customWidth="1"/>
    <col min="14347" max="14347" width="6.7109375" customWidth="1"/>
    <col min="14593" max="14593" width="14.7109375" customWidth="1"/>
    <col min="14594" max="14594" width="15.7109375" customWidth="1"/>
    <col min="14595" max="14595" width="15.28515625" customWidth="1"/>
    <col min="14596" max="14598" width="14.7109375" customWidth="1"/>
    <col min="14599" max="14599" width="13.140625" customWidth="1"/>
    <col min="14600" max="14601" width="10.7109375" customWidth="1"/>
    <col min="14602" max="14602" width="5.7109375" customWidth="1"/>
    <col min="14603" max="14603" width="6.7109375" customWidth="1"/>
    <col min="14849" max="14849" width="14.7109375" customWidth="1"/>
    <col min="14850" max="14850" width="15.7109375" customWidth="1"/>
    <col min="14851" max="14851" width="15.28515625" customWidth="1"/>
    <col min="14852" max="14854" width="14.7109375" customWidth="1"/>
    <col min="14855" max="14855" width="13.140625" customWidth="1"/>
    <col min="14856" max="14857" width="10.7109375" customWidth="1"/>
    <col min="14858" max="14858" width="5.7109375" customWidth="1"/>
    <col min="14859" max="14859" width="6.7109375" customWidth="1"/>
    <col min="15105" max="15105" width="14.7109375" customWidth="1"/>
    <col min="15106" max="15106" width="15.7109375" customWidth="1"/>
    <col min="15107" max="15107" width="15.28515625" customWidth="1"/>
    <col min="15108" max="15110" width="14.7109375" customWidth="1"/>
    <col min="15111" max="15111" width="13.140625" customWidth="1"/>
    <col min="15112" max="15113" width="10.7109375" customWidth="1"/>
    <col min="15114" max="15114" width="5.7109375" customWidth="1"/>
    <col min="15115" max="15115" width="6.7109375" customWidth="1"/>
    <col min="15361" max="15361" width="14.7109375" customWidth="1"/>
    <col min="15362" max="15362" width="15.7109375" customWidth="1"/>
    <col min="15363" max="15363" width="15.28515625" customWidth="1"/>
    <col min="15364" max="15366" width="14.7109375" customWidth="1"/>
    <col min="15367" max="15367" width="13.140625" customWidth="1"/>
    <col min="15368" max="15369" width="10.7109375" customWidth="1"/>
    <col min="15370" max="15370" width="5.7109375" customWidth="1"/>
    <col min="15371" max="15371" width="6.7109375" customWidth="1"/>
    <col min="15617" max="15617" width="14.7109375" customWidth="1"/>
    <col min="15618" max="15618" width="15.7109375" customWidth="1"/>
    <col min="15619" max="15619" width="15.28515625" customWidth="1"/>
    <col min="15620" max="15622" width="14.7109375" customWidth="1"/>
    <col min="15623" max="15623" width="13.140625" customWidth="1"/>
    <col min="15624" max="15625" width="10.7109375" customWidth="1"/>
    <col min="15626" max="15626" width="5.7109375" customWidth="1"/>
    <col min="15627" max="15627" width="6.7109375" customWidth="1"/>
    <col min="15873" max="15873" width="14.7109375" customWidth="1"/>
    <col min="15874" max="15874" width="15.7109375" customWidth="1"/>
    <col min="15875" max="15875" width="15.28515625" customWidth="1"/>
    <col min="15876" max="15878" width="14.7109375" customWidth="1"/>
    <col min="15879" max="15879" width="13.140625" customWidth="1"/>
    <col min="15880" max="15881" width="10.7109375" customWidth="1"/>
    <col min="15882" max="15882" width="5.7109375" customWidth="1"/>
    <col min="15883" max="15883" width="6.7109375" customWidth="1"/>
    <col min="16129" max="16129" width="14.7109375" customWidth="1"/>
    <col min="16130" max="16130" width="15.7109375" customWidth="1"/>
    <col min="16131" max="16131" width="15.28515625" customWidth="1"/>
    <col min="16132" max="16134" width="14.7109375" customWidth="1"/>
    <col min="16135" max="16135" width="13.140625" customWidth="1"/>
    <col min="16136" max="16137" width="10.7109375" customWidth="1"/>
    <col min="16138" max="16138" width="5.7109375" customWidth="1"/>
    <col min="16139" max="16139" width="6.7109375" customWidth="1"/>
  </cols>
  <sheetData>
    <row r="1" spans="1:9" ht="18" x14ac:dyDescent="0.25">
      <c r="A1" s="115" t="s">
        <v>160</v>
      </c>
      <c r="B1"/>
      <c r="C1"/>
      <c r="D1"/>
      <c r="E1"/>
      <c r="F1"/>
      <c r="G1" s="116"/>
      <c r="H1"/>
      <c r="I1"/>
    </row>
    <row r="2" spans="1:9" ht="12.75" x14ac:dyDescent="0.2">
      <c r="A2"/>
      <c r="B2"/>
      <c r="C2"/>
      <c r="D2"/>
      <c r="E2"/>
      <c r="F2"/>
      <c r="G2" s="116"/>
      <c r="H2"/>
      <c r="I2"/>
    </row>
    <row r="3" spans="1:9" ht="12.75" x14ac:dyDescent="0.2">
      <c r="A3" s="117" t="s">
        <v>161</v>
      </c>
      <c r="B3" s="118"/>
      <c r="C3"/>
      <c r="D3"/>
      <c r="E3"/>
      <c r="F3"/>
      <c r="G3" s="116"/>
      <c r="H3" s="117" t="s">
        <v>162</v>
      </c>
      <c r="I3" s="5"/>
    </row>
    <row r="4" spans="1:9" ht="12.75" x14ac:dyDescent="0.2">
      <c r="A4" s="5" t="s">
        <v>163</v>
      </c>
      <c r="B4" s="118"/>
      <c r="C4"/>
      <c r="D4"/>
      <c r="E4"/>
      <c r="F4"/>
      <c r="G4" s="116"/>
      <c r="H4" s="117" t="s">
        <v>164</v>
      </c>
      <c r="I4" s="119"/>
    </row>
    <row r="5" spans="1:9" ht="12.75" x14ac:dyDescent="0.2">
      <c r="A5" s="5" t="s">
        <v>165</v>
      </c>
      <c r="B5" s="119"/>
      <c r="C5"/>
      <c r="D5"/>
      <c r="E5"/>
      <c r="F5"/>
      <c r="G5" s="116"/>
      <c r="H5" s="5" t="s">
        <v>166</v>
      </c>
      <c r="I5" s="120"/>
    </row>
    <row r="6" spans="1:9" ht="12.75" x14ac:dyDescent="0.2">
      <c r="A6" s="121"/>
      <c r="B6" s="119"/>
      <c r="C6"/>
      <c r="D6"/>
      <c r="E6"/>
      <c r="F6"/>
      <c r="G6" s="116"/>
      <c r="H6"/>
      <c r="I6"/>
    </row>
    <row r="7" spans="1:9" ht="12.75" x14ac:dyDescent="0.2">
      <c r="A7" s="122" t="s">
        <v>167</v>
      </c>
      <c r="B7" s="119"/>
      <c r="C7"/>
      <c r="D7"/>
      <c r="E7"/>
      <c r="F7"/>
      <c r="G7" s="116"/>
      <c r="H7"/>
      <c r="I7"/>
    </row>
    <row r="8" spans="1:9" x14ac:dyDescent="0.2">
      <c r="A8" s="123" t="s">
        <v>168</v>
      </c>
    </row>
    <row r="9" spans="1:9" ht="12.75" x14ac:dyDescent="0.2">
      <c r="A9" s="126"/>
      <c r="B9" s="127" t="s">
        <v>169</v>
      </c>
      <c r="C9" s="128" t="s">
        <v>170</v>
      </c>
      <c r="D9" s="129"/>
      <c r="E9" s="130"/>
      <c r="F9" s="131"/>
      <c r="G9" s="132">
        <v>1230</v>
      </c>
      <c r="H9" s="133" t="s">
        <v>171</v>
      </c>
      <c r="I9" s="134"/>
    </row>
    <row r="10" spans="1:9" ht="12.75" x14ac:dyDescent="0.2">
      <c r="A10" s="126"/>
      <c r="B10" s="127" t="s">
        <v>172</v>
      </c>
      <c r="C10" s="135" t="s">
        <v>173</v>
      </c>
      <c r="D10" s="130"/>
      <c r="E10" s="130"/>
      <c r="F10" s="131"/>
      <c r="G10" s="136">
        <v>600</v>
      </c>
      <c r="H10" s="137" t="s">
        <v>174</v>
      </c>
      <c r="I10" s="138"/>
    </row>
    <row r="11" spans="1:9" ht="12.75" x14ac:dyDescent="0.2">
      <c r="A11" s="126"/>
      <c r="B11" s="127" t="s">
        <v>175</v>
      </c>
      <c r="C11" s="128" t="s">
        <v>176</v>
      </c>
      <c r="D11" s="129"/>
      <c r="E11" s="130"/>
      <c r="F11" s="131"/>
      <c r="G11" s="136">
        <v>40</v>
      </c>
      <c r="H11" s="137" t="s">
        <v>174</v>
      </c>
      <c r="I11" s="138"/>
    </row>
    <row r="12" spans="1:9" ht="12.75" x14ac:dyDescent="0.2">
      <c r="A12" s="126"/>
      <c r="B12" s="127" t="s">
        <v>177</v>
      </c>
      <c r="C12" s="128" t="s">
        <v>178</v>
      </c>
      <c r="D12" s="129"/>
      <c r="E12" s="130"/>
      <c r="F12" s="131"/>
      <c r="G12" s="136">
        <v>7</v>
      </c>
      <c r="H12" s="139" t="s">
        <v>179</v>
      </c>
      <c r="I12" s="138"/>
    </row>
    <row r="13" spans="1:9" ht="12.75" x14ac:dyDescent="0.2">
      <c r="A13" s="126"/>
      <c r="B13" s="127" t="s">
        <v>180</v>
      </c>
      <c r="C13" s="128"/>
      <c r="D13" s="129"/>
      <c r="E13" s="130"/>
      <c r="F13" s="131"/>
      <c r="G13" s="140" t="s">
        <v>476</v>
      </c>
      <c r="H13" s="139"/>
      <c r="I13" s="138"/>
    </row>
    <row r="14" spans="1:9" ht="15.75" x14ac:dyDescent="0.2">
      <c r="A14" s="126"/>
      <c r="B14" s="127" t="s">
        <v>182</v>
      </c>
      <c r="C14" s="135" t="s">
        <v>183</v>
      </c>
      <c r="D14" s="130"/>
      <c r="E14" s="130"/>
      <c r="F14" s="131"/>
      <c r="G14" s="141">
        <f>VLOOKUP(G13,钢筋强度和模量!$A$2:$F$15,2)</f>
        <v>14.3</v>
      </c>
      <c r="H14" s="137" t="s">
        <v>184</v>
      </c>
      <c r="I14" s="131"/>
    </row>
    <row r="15" spans="1:9" ht="15.75" x14ac:dyDescent="0.2">
      <c r="A15" s="126"/>
      <c r="B15" s="127" t="s">
        <v>185</v>
      </c>
      <c r="C15" s="135" t="s">
        <v>186</v>
      </c>
      <c r="D15" s="130"/>
      <c r="E15" s="130"/>
      <c r="F15" s="142"/>
      <c r="G15" s="141">
        <f>VLOOKUP(G13,钢筋强度和模量!$A$2:$F$15,5)</f>
        <v>2.0099999999999998</v>
      </c>
      <c r="H15" s="137" t="s">
        <v>184</v>
      </c>
      <c r="I15" s="138"/>
    </row>
    <row r="16" spans="1:9" ht="12.75" x14ac:dyDescent="0.2">
      <c r="A16" s="126"/>
      <c r="B16" s="127" t="s">
        <v>187</v>
      </c>
      <c r="C16" s="135"/>
      <c r="D16" s="130"/>
      <c r="E16" s="130"/>
      <c r="F16" s="142"/>
      <c r="G16" s="140" t="s">
        <v>477</v>
      </c>
      <c r="H16" s="137"/>
      <c r="I16" s="138"/>
    </row>
    <row r="17" spans="1:9" ht="15.75" x14ac:dyDescent="0.2">
      <c r="A17" s="126"/>
      <c r="B17" s="127" t="s">
        <v>188</v>
      </c>
      <c r="C17" s="135" t="s">
        <v>189</v>
      </c>
      <c r="D17" s="130"/>
      <c r="E17" s="130"/>
      <c r="F17" s="131"/>
      <c r="G17" s="143">
        <f>VLOOKUP(G16,钢筋强度和模量!$A$18:$F$21,2)</f>
        <v>360</v>
      </c>
      <c r="H17" s="137" t="s">
        <v>184</v>
      </c>
      <c r="I17" s="138"/>
    </row>
    <row r="18" spans="1:9" ht="15.75" x14ac:dyDescent="0.2">
      <c r="A18" s="126"/>
      <c r="B18" s="127" t="s">
        <v>190</v>
      </c>
      <c r="C18" s="135" t="s">
        <v>191</v>
      </c>
      <c r="D18" s="130"/>
      <c r="E18" s="130"/>
      <c r="F18" s="142"/>
      <c r="G18" s="143">
        <f>VLOOKUP(G16,钢筋强度和模量!$A$18:$F$21,4)</f>
        <v>400</v>
      </c>
      <c r="H18" s="137" t="s">
        <v>184</v>
      </c>
      <c r="I18" s="138"/>
    </row>
    <row r="19" spans="1:9" ht="12.75" x14ac:dyDescent="0.2">
      <c r="A19" s="126"/>
      <c r="B19" s="127" t="s">
        <v>192</v>
      </c>
      <c r="C19" s="128" t="s">
        <v>193</v>
      </c>
      <c r="D19" s="130"/>
      <c r="E19" s="130"/>
      <c r="F19" s="131"/>
      <c r="G19" s="143">
        <f>PI()*G11^2/4*G12</f>
        <v>8796.4594300514218</v>
      </c>
      <c r="H19" s="137" t="s">
        <v>194</v>
      </c>
      <c r="I19" s="138"/>
    </row>
    <row r="20" spans="1:9" ht="12.75" x14ac:dyDescent="0.2">
      <c r="A20" s="126"/>
      <c r="B20" s="127" t="s">
        <v>195</v>
      </c>
      <c r="C20" s="128" t="s">
        <v>196</v>
      </c>
      <c r="D20" s="130"/>
      <c r="E20" s="130"/>
      <c r="F20" s="131"/>
      <c r="G20" s="144">
        <f>(G10-2*G23-G11)*SIN(PI()/G12)-G11</f>
        <v>159.58651999407672</v>
      </c>
      <c r="H20" s="137" t="s">
        <v>174</v>
      </c>
      <c r="I20" s="145" t="str">
        <f>IF(G20&gt;=80,"OK!,&gt;80mm","NOT OK!!")</f>
        <v>OK!,&gt;80mm</v>
      </c>
    </row>
    <row r="21" spans="1:9" ht="14.25" x14ac:dyDescent="0.25">
      <c r="A21" s="126"/>
      <c r="B21" s="127" t="s">
        <v>197</v>
      </c>
      <c r="C21" s="146" t="s">
        <v>296</v>
      </c>
      <c r="D21" s="129"/>
      <c r="E21" s="130"/>
      <c r="F21" s="131"/>
      <c r="G21" s="147">
        <v>2.7</v>
      </c>
      <c r="H21" s="148"/>
      <c r="I21" s="138"/>
    </row>
    <row r="22" spans="1:9" ht="13.5" x14ac:dyDescent="0.2">
      <c r="A22" s="126"/>
      <c r="B22" s="127" t="s">
        <v>199</v>
      </c>
      <c r="C22" s="149" t="s">
        <v>200</v>
      </c>
      <c r="D22" s="129"/>
      <c r="E22" s="130"/>
      <c r="F22" s="131"/>
      <c r="G22" s="136">
        <v>1</v>
      </c>
      <c r="H22" s="148"/>
      <c r="I22" s="138"/>
    </row>
    <row r="23" spans="1:9" ht="14.25" x14ac:dyDescent="0.25">
      <c r="A23" s="126"/>
      <c r="B23" s="127" t="s">
        <v>201</v>
      </c>
      <c r="C23" s="128" t="s">
        <v>202</v>
      </c>
      <c r="D23" s="129"/>
      <c r="E23" s="130"/>
      <c r="F23" s="131"/>
      <c r="G23" s="150">
        <v>50</v>
      </c>
      <c r="H23" s="137" t="s">
        <v>174</v>
      </c>
      <c r="I23" s="138"/>
    </row>
    <row r="24" spans="1:9" ht="15.75" x14ac:dyDescent="0.2">
      <c r="A24" s="126"/>
      <c r="B24" s="127" t="s">
        <v>203</v>
      </c>
      <c r="C24" s="128" t="s">
        <v>204</v>
      </c>
      <c r="D24" s="129"/>
      <c r="E24" s="130"/>
      <c r="F24" s="131"/>
      <c r="G24" s="143">
        <f>VLOOKUP(G16,钢筋强度和模量!$A$18:$F$21,6)</f>
        <v>200000</v>
      </c>
      <c r="H24" s="137" t="s">
        <v>184</v>
      </c>
      <c r="I24" s="138"/>
    </row>
    <row r="25" spans="1:9" ht="15.75" x14ac:dyDescent="0.35">
      <c r="A25" s="126"/>
      <c r="B25" s="127" t="s">
        <v>205</v>
      </c>
      <c r="C25" s="151" t="s">
        <v>206</v>
      </c>
      <c r="D25" s="130"/>
      <c r="E25" s="152"/>
      <c r="F25" s="131"/>
      <c r="G25" s="153">
        <f>G19/(G10*G10*PI()/4)</f>
        <v>3.1111111111111114E-2</v>
      </c>
      <c r="H25" s="148"/>
      <c r="I25" s="138"/>
    </row>
    <row r="26" spans="1:9" ht="16.5" x14ac:dyDescent="0.25">
      <c r="A26" s="126"/>
      <c r="B26" s="127" t="s">
        <v>207</v>
      </c>
      <c r="C26" s="146" t="s">
        <v>208</v>
      </c>
      <c r="D26" s="154" t="s">
        <v>209</v>
      </c>
      <c r="E26" s="130"/>
      <c r="F26" s="131"/>
      <c r="G26" s="134">
        <f>G9/G19*1000</f>
        <v>139.82898571645089</v>
      </c>
      <c r="H26" s="137" t="s">
        <v>184</v>
      </c>
      <c r="I26" s="155"/>
    </row>
    <row r="27" spans="1:9" ht="15.75" x14ac:dyDescent="0.35">
      <c r="A27" s="156"/>
      <c r="B27" s="157" t="s">
        <v>210</v>
      </c>
      <c r="C27" s="146" t="s">
        <v>211</v>
      </c>
      <c r="D27" s="129" t="s">
        <v>212</v>
      </c>
      <c r="E27" s="130"/>
      <c r="F27" s="131"/>
      <c r="G27" s="134">
        <f>IF(1.1-0.65*G15/G25/G26&lt;0.2,0.2,IF(1.1-0.65*G15/G25/G26&gt;1,1,1.1-0.65*G15/G25/G26))</f>
        <v>0.79967140473792209</v>
      </c>
      <c r="H27" s="148"/>
      <c r="I27" s="138"/>
    </row>
    <row r="28" spans="1:9" ht="16.5" x14ac:dyDescent="0.25">
      <c r="A28" s="156"/>
      <c r="B28" s="157" t="s">
        <v>213</v>
      </c>
      <c r="C28" s="149" t="s">
        <v>214</v>
      </c>
      <c r="D28" s="129" t="s">
        <v>215</v>
      </c>
      <c r="E28" s="130"/>
      <c r="F28" s="131"/>
      <c r="G28" s="134">
        <f>G11/G22</f>
        <v>40</v>
      </c>
      <c r="H28" s="137" t="s">
        <v>174</v>
      </c>
      <c r="I28" s="138"/>
    </row>
    <row r="29" spans="1:9" ht="15.75" x14ac:dyDescent="0.35">
      <c r="A29" s="126"/>
      <c r="B29" s="158" t="s">
        <v>216</v>
      </c>
      <c r="C29" s="146" t="s">
        <v>217</v>
      </c>
      <c r="D29" s="159" t="s">
        <v>218</v>
      </c>
      <c r="E29" s="130"/>
      <c r="F29" s="131"/>
      <c r="G29" s="160">
        <f>G21*G26*G27/G24*(1.9*G23+0.08*G28/G25)</f>
        <v>0.29867183880789228</v>
      </c>
      <c r="H29" s="137" t="s">
        <v>174</v>
      </c>
      <c r="I29" s="145" t="str">
        <f>IF(G29&lt;G30,"OK!,&lt;0.3mm","NOT OK!")</f>
        <v>OK!,&lt;0.3mm</v>
      </c>
    </row>
    <row r="30" spans="1:9" ht="15.75" x14ac:dyDescent="0.35">
      <c r="A30" s="161"/>
      <c r="B30" s="162" t="s">
        <v>219</v>
      </c>
      <c r="C30" s="146" t="s">
        <v>220</v>
      </c>
      <c r="D30" s="159"/>
      <c r="E30" s="130"/>
      <c r="F30" s="131"/>
      <c r="G30" s="163">
        <v>0.3</v>
      </c>
      <c r="H30" s="137" t="s">
        <v>174</v>
      </c>
      <c r="I30" s="164"/>
    </row>
    <row r="31" spans="1:9" ht="12.75" x14ac:dyDescent="0.2">
      <c r="A31" s="161"/>
      <c r="B31" s="161"/>
      <c r="C31" s="165"/>
      <c r="D31" s="166"/>
      <c r="E31" s="167"/>
      <c r="F31" s="167"/>
      <c r="G31" s="168"/>
      <c r="H31" s="167"/>
      <c r="I31" s="167"/>
    </row>
    <row r="32" spans="1:9" ht="12.75" x14ac:dyDescent="0.2">
      <c r="A32" s="169" t="s">
        <v>221</v>
      </c>
      <c r="B32" s="170"/>
      <c r="C32" s="171"/>
      <c r="D32" s="172" t="s">
        <v>222</v>
      </c>
      <c r="E32" s="173">
        <f>1.35*G9</f>
        <v>1660.5</v>
      </c>
      <c r="F32" s="167"/>
      <c r="H32" s="167"/>
      <c r="I32" s="167"/>
    </row>
    <row r="33" spans="1:13" ht="12.75" x14ac:dyDescent="0.2">
      <c r="A33" s="170"/>
      <c r="B33" s="174" t="s">
        <v>223</v>
      </c>
      <c r="C33" s="175"/>
      <c r="D33" s="176">
        <f>G17*G19/1000</f>
        <v>3166.7253948185116</v>
      </c>
      <c r="E33" s="177" t="s">
        <v>171</v>
      </c>
      <c r="F33" s="178" t="str">
        <f>IF(D33&gt;E32,"OK,&gt;1.35Ns","Not OK")</f>
        <v>OK,&gt;1.35Ns</v>
      </c>
      <c r="H33" s="167"/>
      <c r="I33" s="167"/>
    </row>
    <row r="34" spans="1:13" ht="12.75" x14ac:dyDescent="0.2">
      <c r="A34" s="179"/>
      <c r="B34" s="179"/>
      <c r="C34" s="161"/>
      <c r="D34" s="167"/>
      <c r="E34" s="167"/>
      <c r="F34" s="167"/>
      <c r="H34" s="167"/>
      <c r="I34" s="167"/>
    </row>
    <row r="35" spans="1:13" ht="12.75" x14ac:dyDescent="0.2">
      <c r="A35" s="180" t="s">
        <v>224</v>
      </c>
      <c r="B35" s="179"/>
      <c r="C35" s="167"/>
      <c r="D35" s="167"/>
      <c r="E35" s="167"/>
      <c r="F35" s="167"/>
      <c r="H35" s="167"/>
      <c r="I35" s="167"/>
    </row>
    <row r="36" spans="1:13" ht="12.75" x14ac:dyDescent="0.2">
      <c r="A36" s="126" t="s">
        <v>225</v>
      </c>
      <c r="B36" s="131"/>
      <c r="C36" s="181" t="s">
        <v>226</v>
      </c>
      <c r="D36" s="131"/>
      <c r="E36" s="182">
        <f>(D37*G14*PI()*G10^2/4+0.9*G17*G19)/1000</f>
        <v>5882.4751642142091</v>
      </c>
      <c r="F36" s="183" t="s">
        <v>64</v>
      </c>
      <c r="G36" s="125" t="s">
        <v>227</v>
      </c>
      <c r="H36" s="167"/>
      <c r="I36" s="167"/>
    </row>
    <row r="37" spans="1:13" ht="12.75" x14ac:dyDescent="0.2">
      <c r="A37" s="161"/>
      <c r="B37" s="161"/>
      <c r="C37" s="184" t="s">
        <v>228</v>
      </c>
      <c r="D37" s="185">
        <v>0.75</v>
      </c>
      <c r="E37" s="167"/>
      <c r="F37" s="167"/>
      <c r="H37" s="167"/>
      <c r="I37" s="167"/>
    </row>
    <row r="38" spans="1:13" ht="12.75" x14ac:dyDescent="0.2">
      <c r="A38" s="186" t="s">
        <v>229</v>
      </c>
      <c r="B38" s="179"/>
      <c r="C38" s="167"/>
      <c r="D38" s="167"/>
      <c r="E38" s="167"/>
      <c r="F38" s="167"/>
      <c r="H38" s="167"/>
      <c r="I38" s="167"/>
    </row>
    <row r="39" spans="1:13" ht="12.75" x14ac:dyDescent="0.2">
      <c r="A39" s="186" t="s">
        <v>230</v>
      </c>
      <c r="B39" s="179"/>
      <c r="C39" s="184"/>
      <c r="D39" s="187"/>
      <c r="E39" s="167"/>
      <c r="F39" s="167"/>
      <c r="H39" s="167"/>
      <c r="I39" s="167"/>
    </row>
    <row r="40" spans="1:13" ht="12.75" x14ac:dyDescent="0.2">
      <c r="A40" s="186" t="s">
        <v>231</v>
      </c>
      <c r="B40" s="179"/>
      <c r="C40" s="184"/>
      <c r="D40" s="187"/>
      <c r="E40" s="167"/>
      <c r="F40" s="167"/>
      <c r="H40" s="167"/>
      <c r="I40" s="167"/>
    </row>
    <row r="42" spans="1:13" ht="15.6" customHeight="1" x14ac:dyDescent="0.2">
      <c r="K42" s="109"/>
      <c r="L42" s="188"/>
      <c r="M42" s="109"/>
    </row>
    <row r="43" spans="1:13" x14ac:dyDescent="0.2">
      <c r="A43" s="123" t="s">
        <v>232</v>
      </c>
      <c r="K43" s="112"/>
      <c r="L43" s="112" t="s">
        <v>233</v>
      </c>
    </row>
    <row r="44" spans="1:13" x14ac:dyDescent="0.2">
      <c r="A44" s="189" t="s">
        <v>234</v>
      </c>
      <c r="K44" s="190">
        <f>G9</f>
        <v>1230</v>
      </c>
      <c r="L44" s="109">
        <v>430</v>
      </c>
    </row>
    <row r="45" spans="1:13" ht="12.75" x14ac:dyDescent="0.2">
      <c r="A45" s="126"/>
      <c r="B45" s="127" t="s">
        <v>235</v>
      </c>
      <c r="C45" s="128" t="s">
        <v>170</v>
      </c>
      <c r="D45" s="129"/>
      <c r="E45" s="130"/>
      <c r="F45" s="131"/>
      <c r="G45" s="132">
        <v>3100</v>
      </c>
      <c r="H45" s="133" t="s">
        <v>171</v>
      </c>
      <c r="I45" s="134"/>
      <c r="K45" s="109">
        <f>K44*2</f>
        <v>2460</v>
      </c>
      <c r="L45" s="109"/>
      <c r="M45" s="109"/>
    </row>
    <row r="46" spans="1:13" ht="12.75" x14ac:dyDescent="0.2">
      <c r="A46" s="126"/>
      <c r="B46" s="127" t="s">
        <v>172</v>
      </c>
      <c r="C46" s="135" t="s">
        <v>173</v>
      </c>
      <c r="D46" s="130"/>
      <c r="E46" s="130"/>
      <c r="F46" s="131"/>
      <c r="G46" s="136">
        <v>650</v>
      </c>
      <c r="H46" s="137" t="s">
        <v>174</v>
      </c>
      <c r="I46" s="138"/>
      <c r="K46" s="109">
        <f>G45+L44*1.2</f>
        <v>3616</v>
      </c>
      <c r="L46" s="109"/>
      <c r="M46" s="109"/>
    </row>
    <row r="47" spans="1:13" ht="12.75" x14ac:dyDescent="0.2">
      <c r="A47" s="126"/>
      <c r="B47" s="127" t="s">
        <v>175</v>
      </c>
      <c r="C47" s="128" t="s">
        <v>176</v>
      </c>
      <c r="D47" s="129"/>
      <c r="E47" s="130"/>
      <c r="F47" s="131"/>
      <c r="G47" s="136">
        <v>40</v>
      </c>
      <c r="H47" s="137" t="s">
        <v>174</v>
      </c>
      <c r="I47" s="138"/>
      <c r="K47" s="191"/>
    </row>
    <row r="48" spans="1:13" ht="12.75" x14ac:dyDescent="0.2">
      <c r="A48" s="126"/>
      <c r="B48" s="127" t="s">
        <v>177</v>
      </c>
      <c r="C48" s="128" t="s">
        <v>178</v>
      </c>
      <c r="D48" s="129"/>
      <c r="E48" s="130"/>
      <c r="F48" s="131"/>
      <c r="G48" s="136">
        <v>14</v>
      </c>
      <c r="H48" s="139" t="s">
        <v>179</v>
      </c>
      <c r="I48" s="138"/>
      <c r="K48" s="191"/>
    </row>
    <row r="49" spans="1:9" ht="12.75" x14ac:dyDescent="0.2">
      <c r="A49" s="126"/>
      <c r="B49" s="127" t="s">
        <v>180</v>
      </c>
      <c r="C49" s="128"/>
      <c r="D49" s="129"/>
      <c r="E49" s="130"/>
      <c r="F49" s="131"/>
      <c r="G49" s="140" t="s">
        <v>181</v>
      </c>
      <c r="H49" s="192"/>
      <c r="I49" s="193"/>
    </row>
    <row r="50" spans="1:9" ht="15.75" x14ac:dyDescent="0.2">
      <c r="A50" s="126"/>
      <c r="B50" s="127" t="s">
        <v>182</v>
      </c>
      <c r="C50" s="135" t="s">
        <v>183</v>
      </c>
      <c r="D50" s="130"/>
      <c r="E50" s="130"/>
      <c r="F50" s="131"/>
      <c r="G50" s="141">
        <f>VLOOKUP(G49,钢筋强度和模量!$A$2:$F$15,2)</f>
        <v>14.3</v>
      </c>
      <c r="H50" s="137" t="s">
        <v>184</v>
      </c>
      <c r="I50" s="131"/>
    </row>
    <row r="51" spans="1:9" ht="15.75" x14ac:dyDescent="0.2">
      <c r="A51" s="126"/>
      <c r="B51" s="127" t="s">
        <v>236</v>
      </c>
      <c r="C51" s="135" t="s">
        <v>237</v>
      </c>
      <c r="D51" s="130"/>
      <c r="E51" s="130"/>
      <c r="F51" s="131"/>
      <c r="G51" s="141">
        <f>VLOOKUP(G49,钢筋强度和模量!$A$2:$F$15,4)</f>
        <v>20.100000000000001</v>
      </c>
      <c r="H51" s="194" t="s">
        <v>184</v>
      </c>
      <c r="I51" s="195"/>
    </row>
    <row r="52" spans="1:9" ht="15.75" x14ac:dyDescent="0.2">
      <c r="A52" s="126"/>
      <c r="B52" s="127" t="s">
        <v>185</v>
      </c>
      <c r="C52" s="135" t="s">
        <v>186</v>
      </c>
      <c r="D52" s="130"/>
      <c r="E52" s="130"/>
      <c r="F52" s="142"/>
      <c r="G52" s="141">
        <f>VLOOKUP(G49,钢筋强度和模量!$A$2:$F$15,5)</f>
        <v>2.0099999999999998</v>
      </c>
      <c r="H52" s="137" t="s">
        <v>184</v>
      </c>
      <c r="I52" s="138"/>
    </row>
    <row r="53" spans="1:9" ht="12.75" x14ac:dyDescent="0.2">
      <c r="A53" s="126"/>
      <c r="B53" s="127" t="s">
        <v>187</v>
      </c>
      <c r="C53" s="135"/>
      <c r="D53" s="130"/>
      <c r="E53" s="130"/>
      <c r="F53" s="142"/>
      <c r="G53" s="140" t="s">
        <v>238</v>
      </c>
      <c r="H53" s="137"/>
      <c r="I53" s="138"/>
    </row>
    <row r="54" spans="1:9" ht="15.75" x14ac:dyDescent="0.2">
      <c r="A54" s="126"/>
      <c r="B54" s="127" t="s">
        <v>188</v>
      </c>
      <c r="C54" s="135" t="s">
        <v>189</v>
      </c>
      <c r="D54" s="130"/>
      <c r="E54" s="130"/>
      <c r="F54" s="131"/>
      <c r="G54" s="143">
        <f>VLOOKUP(G53,钢筋强度和模量!$A$18:$F$21,2)</f>
        <v>360</v>
      </c>
      <c r="H54" s="137" t="s">
        <v>184</v>
      </c>
      <c r="I54" s="138"/>
    </row>
    <row r="55" spans="1:9" ht="15.75" x14ac:dyDescent="0.2">
      <c r="A55" s="126"/>
      <c r="B55" s="127" t="s">
        <v>190</v>
      </c>
      <c r="C55" s="135" t="s">
        <v>191</v>
      </c>
      <c r="D55" s="130"/>
      <c r="E55" s="130"/>
      <c r="F55" s="142"/>
      <c r="G55" s="143">
        <f>VLOOKUP(G53,钢筋强度和模量!$A$18:$F$21,4)</f>
        <v>400</v>
      </c>
      <c r="H55" s="137" t="s">
        <v>184</v>
      </c>
      <c r="I55" s="138"/>
    </row>
    <row r="56" spans="1:9" ht="12.75" x14ac:dyDescent="0.2">
      <c r="A56" s="126"/>
      <c r="B56" s="127" t="s">
        <v>192</v>
      </c>
      <c r="C56" s="128" t="s">
        <v>193</v>
      </c>
      <c r="D56" s="130"/>
      <c r="E56" s="130"/>
      <c r="F56" s="131"/>
      <c r="G56" s="143">
        <f>PI()*G47^2/4*G48</f>
        <v>17592.918860102844</v>
      </c>
      <c r="H56" s="137" t="s">
        <v>194</v>
      </c>
      <c r="I56" s="138"/>
    </row>
    <row r="57" spans="1:9" ht="12.75" x14ac:dyDescent="0.2">
      <c r="A57" s="126"/>
      <c r="B57" s="127" t="s">
        <v>195</v>
      </c>
      <c r="C57" s="128" t="s">
        <v>196</v>
      </c>
      <c r="D57" s="130"/>
      <c r="E57" s="130"/>
      <c r="F57" s="131"/>
      <c r="G57" s="144">
        <f>(G46-2*G60-G47)*SIN(PI()/G48)-G47</f>
        <v>82.386513675972921</v>
      </c>
      <c r="H57" s="137" t="s">
        <v>174</v>
      </c>
      <c r="I57" s="145" t="str">
        <f>IF(G57&gt;=80,"OK!,&gt;80mm","NOT OK!!")</f>
        <v>OK!,&gt;80mm</v>
      </c>
    </row>
    <row r="58" spans="1:9" ht="14.25" x14ac:dyDescent="0.25">
      <c r="A58" s="126"/>
      <c r="B58" s="127" t="s">
        <v>197</v>
      </c>
      <c r="C58" s="146" t="s">
        <v>198</v>
      </c>
      <c r="D58" s="129"/>
      <c r="E58" s="130"/>
      <c r="F58" s="131"/>
      <c r="G58" s="147">
        <v>2.7</v>
      </c>
      <c r="H58" s="148"/>
      <c r="I58" s="138"/>
    </row>
    <row r="59" spans="1:9" ht="13.5" x14ac:dyDescent="0.2">
      <c r="A59" s="126"/>
      <c r="B59" s="127" t="s">
        <v>199</v>
      </c>
      <c r="C59" s="149" t="s">
        <v>200</v>
      </c>
      <c r="D59" s="129"/>
      <c r="E59" s="130"/>
      <c r="F59" s="131"/>
      <c r="G59" s="136">
        <v>1</v>
      </c>
      <c r="H59" s="148"/>
      <c r="I59" s="138"/>
    </row>
    <row r="60" spans="1:9" ht="14.25" x14ac:dyDescent="0.25">
      <c r="A60" s="126"/>
      <c r="B60" s="127" t="s">
        <v>201</v>
      </c>
      <c r="C60" s="128" t="s">
        <v>202</v>
      </c>
      <c r="D60" s="129"/>
      <c r="E60" s="130"/>
      <c r="F60" s="131"/>
      <c r="G60" s="150">
        <v>30</v>
      </c>
      <c r="H60" s="137" t="s">
        <v>174</v>
      </c>
      <c r="I60" s="138"/>
    </row>
    <row r="61" spans="1:9" ht="15.75" x14ac:dyDescent="0.2">
      <c r="A61" s="126"/>
      <c r="B61" s="127" t="s">
        <v>203</v>
      </c>
      <c r="C61" s="128" t="s">
        <v>204</v>
      </c>
      <c r="D61" s="129"/>
      <c r="E61" s="130"/>
      <c r="F61" s="131"/>
      <c r="G61" s="143">
        <f>VLOOKUP(G53,钢筋强度和模量!$A$18:$F$21,6)</f>
        <v>200000</v>
      </c>
      <c r="H61" s="137" t="s">
        <v>184</v>
      </c>
      <c r="I61" s="138"/>
    </row>
    <row r="62" spans="1:9" ht="15.75" x14ac:dyDescent="0.35">
      <c r="A62" s="126"/>
      <c r="B62" s="127" t="s">
        <v>205</v>
      </c>
      <c r="C62" s="151" t="s">
        <v>206</v>
      </c>
      <c r="D62" s="130"/>
      <c r="E62" s="152"/>
      <c r="F62" s="131"/>
      <c r="G62" s="153">
        <f>G56/(G46*G46*PI()/4)</f>
        <v>5.3017751479289943E-2</v>
      </c>
      <c r="H62" s="148"/>
      <c r="I62" s="138"/>
    </row>
    <row r="63" spans="1:9" ht="16.5" x14ac:dyDescent="0.25">
      <c r="A63" s="126"/>
      <c r="B63" s="127" t="s">
        <v>207</v>
      </c>
      <c r="C63" s="146" t="s">
        <v>208</v>
      </c>
      <c r="D63" s="154" t="s">
        <v>209</v>
      </c>
      <c r="E63" s="130"/>
      <c r="F63" s="131"/>
      <c r="G63" s="134">
        <f>G45/G56*1000</f>
        <v>176.2072584231698</v>
      </c>
      <c r="H63" s="137" t="s">
        <v>184</v>
      </c>
      <c r="I63" s="155"/>
    </row>
    <row r="64" spans="1:9" ht="15.75" x14ac:dyDescent="0.35">
      <c r="A64" s="156"/>
      <c r="B64" s="157" t="s">
        <v>210</v>
      </c>
      <c r="C64" s="146" t="s">
        <v>211</v>
      </c>
      <c r="D64" s="129" t="s">
        <v>212</v>
      </c>
      <c r="E64" s="130"/>
      <c r="F64" s="131"/>
      <c r="G64" s="134">
        <f>IF(1.1-0.65*G52/G62/G63&lt;0.2,0.2,IF(1.1-0.65*G52/G62/G63&gt;1,1,1.1-0.65*G52/G62/G63))</f>
        <v>0.96014940614442623</v>
      </c>
      <c r="H64" s="148"/>
      <c r="I64" s="138"/>
    </row>
    <row r="65" spans="1:12" ht="16.5" x14ac:dyDescent="0.25">
      <c r="A65" s="156"/>
      <c r="B65" s="157" t="s">
        <v>213</v>
      </c>
      <c r="C65" s="149" t="s">
        <v>214</v>
      </c>
      <c r="D65" s="129" t="s">
        <v>215</v>
      </c>
      <c r="E65" s="130"/>
      <c r="F65" s="131"/>
      <c r="G65" s="134">
        <f>G47/G59</f>
        <v>40</v>
      </c>
      <c r="H65" s="137" t="s">
        <v>174</v>
      </c>
      <c r="I65" s="138"/>
    </row>
    <row r="66" spans="1:12" ht="15.75" x14ac:dyDescent="0.35">
      <c r="A66" s="126"/>
      <c r="B66" s="158" t="s">
        <v>216</v>
      </c>
      <c r="C66" s="146" t="s">
        <v>217</v>
      </c>
      <c r="D66" s="159" t="s">
        <v>218</v>
      </c>
      <c r="E66" s="130"/>
      <c r="F66" s="131"/>
      <c r="G66" s="160">
        <f>G58*G63*G64/G61*(1.9*G60+0.08*G65/G62)</f>
        <v>0.2680438875283454</v>
      </c>
      <c r="H66" s="137" t="s">
        <v>174</v>
      </c>
      <c r="I66" s="145" t="str">
        <f>IF(G66&lt;G67,"OK!","NOT OK!")</f>
        <v>OK!</v>
      </c>
    </row>
    <row r="67" spans="1:12" ht="15.75" x14ac:dyDescent="0.35">
      <c r="A67" s="161"/>
      <c r="B67" s="162" t="s">
        <v>219</v>
      </c>
      <c r="C67" s="146" t="s">
        <v>220</v>
      </c>
      <c r="D67" s="159"/>
      <c r="E67" s="130"/>
      <c r="F67" s="131"/>
      <c r="G67" s="163">
        <v>0.3</v>
      </c>
      <c r="H67" s="137" t="s">
        <v>174</v>
      </c>
      <c r="I67" s="164"/>
    </row>
    <row r="68" spans="1:12" ht="12.75" x14ac:dyDescent="0.2">
      <c r="A68" s="161"/>
      <c r="B68" s="161"/>
      <c r="C68" s="165"/>
      <c r="D68" s="166"/>
      <c r="E68" s="167"/>
      <c r="F68" s="167"/>
      <c r="G68" s="168"/>
      <c r="H68" s="167"/>
      <c r="I68" s="167"/>
    </row>
    <row r="69" spans="1:12" ht="12.75" x14ac:dyDescent="0.2">
      <c r="A69" s="169" t="s">
        <v>239</v>
      </c>
      <c r="B69" s="170"/>
      <c r="C69" s="171"/>
      <c r="D69" s="172"/>
      <c r="E69" s="173"/>
      <c r="F69" s="167"/>
      <c r="H69" s="167"/>
      <c r="I69" s="167"/>
    </row>
    <row r="70" spans="1:12" ht="12.75" x14ac:dyDescent="0.2">
      <c r="A70" s="170"/>
      <c r="B70" s="174" t="s">
        <v>240</v>
      </c>
      <c r="C70" s="175"/>
      <c r="D70" s="176">
        <f>G55*G56/1000</f>
        <v>7037.1675440411373</v>
      </c>
      <c r="E70" s="177" t="s">
        <v>171</v>
      </c>
      <c r="F70" s="178" t="str">
        <f>IF(D70&gt;G45,"OK!,&gt;Ns","Not OK!!")</f>
        <v>OK!,&gt;Ns</v>
      </c>
      <c r="H70" s="167"/>
      <c r="I70" s="167"/>
    </row>
    <row r="71" spans="1:12" ht="12.75" x14ac:dyDescent="0.2">
      <c r="A71" s="179"/>
      <c r="B71" s="179"/>
      <c r="C71" s="161"/>
      <c r="D71" s="167"/>
      <c r="E71" s="167"/>
      <c r="F71" s="167"/>
      <c r="H71" s="167"/>
      <c r="I71" s="167"/>
    </row>
    <row r="72" spans="1:12" ht="12.75" x14ac:dyDescent="0.2">
      <c r="A72" s="186" t="s">
        <v>229</v>
      </c>
      <c r="B72" s="167"/>
      <c r="C72" s="167"/>
      <c r="D72" s="167"/>
      <c r="E72" s="167"/>
      <c r="F72" s="167"/>
      <c r="H72" s="167"/>
      <c r="I72" s="167"/>
    </row>
    <row r="73" spans="1:12" ht="12.75" x14ac:dyDescent="0.2">
      <c r="A73" s="186" t="s">
        <v>241</v>
      </c>
      <c r="B73" s="167"/>
      <c r="C73" s="167"/>
      <c r="D73" s="167"/>
      <c r="E73" s="167"/>
      <c r="F73" s="167"/>
      <c r="H73" s="167"/>
      <c r="I73" s="167"/>
    </row>
    <row r="74" spans="1:12" ht="12.75" x14ac:dyDescent="0.2">
      <c r="A74" s="186" t="s">
        <v>242</v>
      </c>
      <c r="B74" s="167"/>
      <c r="C74" s="167"/>
      <c r="D74" s="167"/>
      <c r="E74" s="167"/>
      <c r="F74" s="167"/>
      <c r="H74" s="167"/>
      <c r="I74" s="167"/>
      <c r="K74" s="112"/>
      <c r="L74" s="112" t="s">
        <v>243</v>
      </c>
    </row>
    <row r="75" spans="1:12" x14ac:dyDescent="0.2">
      <c r="K75" s="190">
        <f>G9</f>
        <v>1230</v>
      </c>
      <c r="L75" s="109">
        <v>430</v>
      </c>
    </row>
    <row r="76" spans="1:12" x14ac:dyDescent="0.2">
      <c r="A76" s="189" t="s">
        <v>244</v>
      </c>
      <c r="K76" s="109">
        <f>K75*2</f>
        <v>2460</v>
      </c>
      <c r="L76" s="109"/>
    </row>
    <row r="77" spans="1:12" ht="12.75" x14ac:dyDescent="0.2">
      <c r="A77" s="126"/>
      <c r="B77" s="127" t="s">
        <v>245</v>
      </c>
      <c r="C77" s="128" t="s">
        <v>246</v>
      </c>
      <c r="D77" s="129"/>
      <c r="E77" s="130"/>
      <c r="F77" s="131"/>
      <c r="G77" s="132">
        <v>3600</v>
      </c>
      <c r="H77" s="133" t="s">
        <v>171</v>
      </c>
      <c r="I77" s="134"/>
      <c r="K77" s="109">
        <f>G45+L75*1.2</f>
        <v>3616</v>
      </c>
      <c r="L77" s="109"/>
    </row>
    <row r="78" spans="1:12" ht="12.75" x14ac:dyDescent="0.2">
      <c r="A78" s="126"/>
      <c r="B78" s="127" t="s">
        <v>172</v>
      </c>
      <c r="C78" s="135" t="s">
        <v>173</v>
      </c>
      <c r="D78" s="130"/>
      <c r="E78" s="130"/>
      <c r="F78" s="131"/>
      <c r="G78" s="136">
        <v>650</v>
      </c>
      <c r="H78" s="137" t="s">
        <v>174</v>
      </c>
      <c r="I78" s="138"/>
    </row>
    <row r="79" spans="1:12" ht="12.75" x14ac:dyDescent="0.2">
      <c r="A79" s="126"/>
      <c r="B79" s="127" t="s">
        <v>175</v>
      </c>
      <c r="C79" s="128" t="s">
        <v>176</v>
      </c>
      <c r="D79" s="129"/>
      <c r="E79" s="130"/>
      <c r="F79" s="131"/>
      <c r="G79" s="136">
        <v>40</v>
      </c>
      <c r="H79" s="137" t="s">
        <v>174</v>
      </c>
      <c r="I79" s="138"/>
      <c r="K79" s="191"/>
    </row>
    <row r="80" spans="1:12" ht="12.75" x14ac:dyDescent="0.2">
      <c r="A80" s="126"/>
      <c r="B80" s="127" t="s">
        <v>177</v>
      </c>
      <c r="C80" s="128" t="s">
        <v>178</v>
      </c>
      <c r="D80" s="129"/>
      <c r="E80" s="130"/>
      <c r="F80" s="131"/>
      <c r="G80" s="136">
        <v>14</v>
      </c>
      <c r="H80" s="139" t="s">
        <v>179</v>
      </c>
      <c r="I80" s="138"/>
      <c r="K80" s="191"/>
    </row>
    <row r="81" spans="1:9" ht="12.75" x14ac:dyDescent="0.2">
      <c r="A81" s="126"/>
      <c r="B81" s="127" t="s">
        <v>180</v>
      </c>
      <c r="C81" s="128"/>
      <c r="D81" s="129"/>
      <c r="E81" s="130"/>
      <c r="F81" s="131"/>
      <c r="G81" s="140" t="s">
        <v>181</v>
      </c>
      <c r="H81" s="139"/>
      <c r="I81" s="138"/>
    </row>
    <row r="82" spans="1:9" ht="15.75" x14ac:dyDescent="0.2">
      <c r="A82" s="126"/>
      <c r="B82" s="127" t="s">
        <v>182</v>
      </c>
      <c r="C82" s="135" t="s">
        <v>183</v>
      </c>
      <c r="D82" s="130"/>
      <c r="E82" s="130"/>
      <c r="F82" s="131"/>
      <c r="G82" s="141">
        <f>VLOOKUP(G49,钢筋强度和模量!$A$2:$F$15,2)</f>
        <v>14.3</v>
      </c>
      <c r="H82" s="137" t="s">
        <v>184</v>
      </c>
      <c r="I82" s="131"/>
    </row>
    <row r="83" spans="1:9" ht="15.75" x14ac:dyDescent="0.2">
      <c r="A83" s="126"/>
      <c r="B83" s="127" t="s">
        <v>236</v>
      </c>
      <c r="C83" s="135" t="s">
        <v>237</v>
      </c>
      <c r="D83" s="130"/>
      <c r="E83" s="130"/>
      <c r="F83" s="131"/>
      <c r="G83" s="141">
        <f>VLOOKUP(G81,钢筋强度和模量!$A$2:$F$15,4)</f>
        <v>20.100000000000001</v>
      </c>
      <c r="H83" s="137" t="s">
        <v>184</v>
      </c>
      <c r="I83" s="196"/>
    </row>
    <row r="84" spans="1:9" ht="15.75" x14ac:dyDescent="0.2">
      <c r="A84" s="126"/>
      <c r="B84" s="127" t="s">
        <v>185</v>
      </c>
      <c r="C84" s="135" t="s">
        <v>186</v>
      </c>
      <c r="D84" s="130"/>
      <c r="E84" s="130"/>
      <c r="F84" s="142"/>
      <c r="G84" s="141">
        <f>VLOOKUP(G49,钢筋强度和模量!$A$2:$F$15,5)</f>
        <v>2.0099999999999998</v>
      </c>
      <c r="H84" s="137" t="s">
        <v>184</v>
      </c>
      <c r="I84" s="138"/>
    </row>
    <row r="85" spans="1:9" ht="12.75" x14ac:dyDescent="0.2">
      <c r="A85" s="126"/>
      <c r="B85" s="127" t="s">
        <v>187</v>
      </c>
      <c r="C85" s="135"/>
      <c r="D85" s="130"/>
      <c r="E85" s="130"/>
      <c r="F85" s="142"/>
      <c r="G85" s="140" t="s">
        <v>238</v>
      </c>
      <c r="H85" s="137"/>
      <c r="I85" s="138"/>
    </row>
    <row r="86" spans="1:9" ht="15.75" x14ac:dyDescent="0.2">
      <c r="A86" s="126"/>
      <c r="B86" s="127" t="s">
        <v>188</v>
      </c>
      <c r="C86" s="135" t="s">
        <v>189</v>
      </c>
      <c r="D86" s="130"/>
      <c r="E86" s="130"/>
      <c r="F86" s="131"/>
      <c r="G86" s="143">
        <f>VLOOKUP(G85,钢筋强度和模量!$A$18:$F$21,2)</f>
        <v>360</v>
      </c>
      <c r="H86" s="137" t="s">
        <v>184</v>
      </c>
      <c r="I86" s="138"/>
    </row>
    <row r="87" spans="1:9" ht="15.75" x14ac:dyDescent="0.2">
      <c r="A87" s="126"/>
      <c r="B87" s="127" t="s">
        <v>190</v>
      </c>
      <c r="C87" s="135" t="s">
        <v>191</v>
      </c>
      <c r="D87" s="130"/>
      <c r="E87" s="130"/>
      <c r="F87" s="142"/>
      <c r="G87" s="143">
        <f>VLOOKUP(G85,钢筋强度和模量!$A$18:$F$21,4)</f>
        <v>400</v>
      </c>
      <c r="H87" s="137" t="s">
        <v>184</v>
      </c>
      <c r="I87" s="138"/>
    </row>
    <row r="88" spans="1:9" ht="12.75" x14ac:dyDescent="0.2">
      <c r="A88" s="126"/>
      <c r="B88" s="127" t="s">
        <v>192</v>
      </c>
      <c r="C88" s="128" t="s">
        <v>193</v>
      </c>
      <c r="D88" s="130"/>
      <c r="E88" s="130"/>
      <c r="F88" s="131"/>
      <c r="G88" s="143">
        <f>PI()*G79^2/4*G80</f>
        <v>17592.918860102844</v>
      </c>
      <c r="H88" s="137" t="s">
        <v>194</v>
      </c>
      <c r="I88" s="138"/>
    </row>
    <row r="89" spans="1:9" ht="12.75" x14ac:dyDescent="0.2">
      <c r="A89" s="126"/>
      <c r="B89" s="127" t="s">
        <v>195</v>
      </c>
      <c r="C89" s="128" t="s">
        <v>196</v>
      </c>
      <c r="D89" s="130"/>
      <c r="E89" s="130"/>
      <c r="F89" s="131"/>
      <c r="G89" s="144">
        <f>(G78-2*G92-G79)*SIN(PI()/G80)-G79</f>
        <v>82.386513675972921</v>
      </c>
      <c r="H89" s="137" t="s">
        <v>174</v>
      </c>
      <c r="I89" s="145" t="str">
        <f>IF(G89&gt;=80,"OK!,&gt;80mm","NOT OK!!")</f>
        <v>OK!,&gt;80mm</v>
      </c>
    </row>
    <row r="90" spans="1:9" ht="14.25" x14ac:dyDescent="0.25">
      <c r="A90" s="126"/>
      <c r="B90" s="127" t="s">
        <v>197</v>
      </c>
      <c r="C90" s="146" t="s">
        <v>198</v>
      </c>
      <c r="D90" s="129"/>
      <c r="E90" s="130"/>
      <c r="F90" s="131"/>
      <c r="G90" s="147">
        <v>2.7</v>
      </c>
      <c r="H90" s="148"/>
      <c r="I90" s="138"/>
    </row>
    <row r="91" spans="1:9" ht="13.5" x14ac:dyDescent="0.2">
      <c r="A91" s="126"/>
      <c r="B91" s="127" t="s">
        <v>199</v>
      </c>
      <c r="C91" s="149" t="s">
        <v>200</v>
      </c>
      <c r="D91" s="129"/>
      <c r="E91" s="130"/>
      <c r="F91" s="131"/>
      <c r="G91" s="136">
        <v>1</v>
      </c>
      <c r="H91" s="148"/>
      <c r="I91" s="138"/>
    </row>
    <row r="92" spans="1:9" ht="14.25" x14ac:dyDescent="0.25">
      <c r="A92" s="126"/>
      <c r="B92" s="127" t="s">
        <v>201</v>
      </c>
      <c r="C92" s="128" t="s">
        <v>202</v>
      </c>
      <c r="D92" s="129"/>
      <c r="E92" s="130"/>
      <c r="F92" s="131"/>
      <c r="G92" s="150">
        <v>30</v>
      </c>
      <c r="H92" s="137" t="s">
        <v>174</v>
      </c>
      <c r="I92" s="138"/>
    </row>
    <row r="93" spans="1:9" ht="15.75" x14ac:dyDescent="0.2">
      <c r="A93" s="126"/>
      <c r="B93" s="127" t="s">
        <v>203</v>
      </c>
      <c r="C93" s="128" t="s">
        <v>204</v>
      </c>
      <c r="D93" s="129"/>
      <c r="E93" s="130"/>
      <c r="F93" s="131"/>
      <c r="G93" s="143">
        <f>VLOOKUP(G85,钢筋强度和模量!$A$18:$F$21,6)</f>
        <v>200000</v>
      </c>
      <c r="H93" s="137" t="s">
        <v>184</v>
      </c>
      <c r="I93" s="138"/>
    </row>
    <row r="94" spans="1:9" ht="15.75" x14ac:dyDescent="0.35">
      <c r="A94" s="126"/>
      <c r="B94" s="127" t="s">
        <v>205</v>
      </c>
      <c r="C94" s="151" t="s">
        <v>206</v>
      </c>
      <c r="D94" s="130"/>
      <c r="E94" s="152"/>
      <c r="F94" s="131"/>
      <c r="G94" s="153">
        <f>G88/(G78*G78*PI()/4)</f>
        <v>5.3017751479289943E-2</v>
      </c>
      <c r="H94" s="148"/>
      <c r="I94" s="138"/>
    </row>
    <row r="95" spans="1:9" ht="16.5" x14ac:dyDescent="0.25">
      <c r="A95" s="126"/>
      <c r="B95" s="127" t="s">
        <v>207</v>
      </c>
      <c r="C95" s="146" t="s">
        <v>208</v>
      </c>
      <c r="D95" s="154" t="s">
        <v>209</v>
      </c>
      <c r="E95" s="130"/>
      <c r="F95" s="131"/>
      <c r="G95" s="134">
        <f>G77/G88*1000</f>
        <v>204.62778397529399</v>
      </c>
      <c r="H95" s="137" t="s">
        <v>184</v>
      </c>
      <c r="I95" s="155"/>
    </row>
    <row r="96" spans="1:9" ht="15.75" x14ac:dyDescent="0.35">
      <c r="A96" s="156"/>
      <c r="B96" s="157" t="s">
        <v>210</v>
      </c>
      <c r="C96" s="146" t="s">
        <v>211</v>
      </c>
      <c r="D96" s="129" t="s">
        <v>212</v>
      </c>
      <c r="E96" s="130"/>
      <c r="F96" s="131"/>
      <c r="G96" s="134">
        <f>IF(1.1-0.65*G84/G94/G95&lt;0.2,0.2,IF(1.1-0.65*G84/G94/G95&gt;1,1,1.1-0.65*G84/G94/G95))</f>
        <v>0.97957309973547824</v>
      </c>
      <c r="H96" s="148"/>
      <c r="I96" s="138"/>
    </row>
    <row r="97" spans="1:9" ht="16.5" x14ac:dyDescent="0.25">
      <c r="A97" s="156"/>
      <c r="B97" s="157" t="s">
        <v>213</v>
      </c>
      <c r="C97" s="149" t="s">
        <v>214</v>
      </c>
      <c r="D97" s="129" t="s">
        <v>215</v>
      </c>
      <c r="E97" s="130"/>
      <c r="F97" s="131"/>
      <c r="G97" s="134">
        <f>G79/G91</f>
        <v>40</v>
      </c>
      <c r="H97" s="137" t="s">
        <v>174</v>
      </c>
      <c r="I97" s="138"/>
    </row>
    <row r="98" spans="1:9" ht="15.75" x14ac:dyDescent="0.35">
      <c r="A98" s="126"/>
      <c r="B98" s="158" t="s">
        <v>216</v>
      </c>
      <c r="C98" s="146" t="s">
        <v>217</v>
      </c>
      <c r="D98" s="159" t="s">
        <v>218</v>
      </c>
      <c r="E98" s="130"/>
      <c r="F98" s="131"/>
      <c r="G98" s="160">
        <f>G90*G95*G96/G93*(1.9*G92+0.08*G97/G94)</f>
        <v>0.31757385993618681</v>
      </c>
      <c r="H98" s="137" t="s">
        <v>174</v>
      </c>
      <c r="I98" s="145" t="str">
        <f>IF(G98&lt;G99,"OK!!","NOT OK!!")</f>
        <v>OK!!</v>
      </c>
    </row>
    <row r="99" spans="1:9" ht="15.75" x14ac:dyDescent="0.35">
      <c r="A99" s="161"/>
      <c r="B99" s="162" t="s">
        <v>219</v>
      </c>
      <c r="C99" s="146" t="s">
        <v>220</v>
      </c>
      <c r="D99" s="159"/>
      <c r="E99" s="130"/>
      <c r="F99" s="131"/>
      <c r="G99" s="163">
        <v>0.4</v>
      </c>
      <c r="H99" s="137" t="s">
        <v>174</v>
      </c>
      <c r="I99" s="164"/>
    </row>
    <row r="100" spans="1:9" ht="12.75" x14ac:dyDescent="0.2">
      <c r="A100" s="161"/>
      <c r="B100" s="161"/>
      <c r="C100" s="165"/>
      <c r="D100" s="166"/>
      <c r="E100" s="167"/>
      <c r="F100" s="167"/>
      <c r="G100" s="168"/>
      <c r="H100" s="167"/>
      <c r="I100" s="167"/>
    </row>
    <row r="101" spans="1:9" ht="12.75" x14ac:dyDescent="0.2">
      <c r="A101" s="169" t="s">
        <v>239</v>
      </c>
      <c r="B101" s="170"/>
      <c r="C101" s="171"/>
      <c r="D101" s="172"/>
      <c r="E101" s="173"/>
      <c r="F101" s="167"/>
      <c r="H101" s="167"/>
      <c r="I101" s="167"/>
    </row>
    <row r="102" spans="1:9" ht="12.75" x14ac:dyDescent="0.2">
      <c r="A102" s="170"/>
      <c r="B102" s="174" t="s">
        <v>240</v>
      </c>
      <c r="C102" s="175"/>
      <c r="D102" s="176">
        <f>G87*G88/1000</f>
        <v>7037.1675440411373</v>
      </c>
      <c r="E102" s="177" t="s">
        <v>171</v>
      </c>
      <c r="F102" s="178" t="str">
        <f>IF(D102&gt;G77,"OK!,&gt;N","Not OK!!")</f>
        <v>OK!,&gt;N</v>
      </c>
      <c r="H102" s="167"/>
      <c r="I102" s="167"/>
    </row>
  </sheetData>
  <phoneticPr fontId="22" type="noConversion"/>
  <printOptions horizontalCentered="1"/>
  <pageMargins left="0.51181102362204722" right="0.51181102362204722" top="0.74803149606299213" bottom="0.74803149606299213" header="0.31496062992125984" footer="0.31496062992125984"/>
  <pageSetup paperSize="9" scale="70" orientation="portrait" r:id="rId1"/>
  <headerFooter>
    <oddFooter>&amp;A&amp;RPage &amp;P</oddFooter>
  </headerFooter>
  <rowBreaks count="1" manualBreakCount="1">
    <brk id="75" max="9" man="1"/>
  </rowBreaks>
  <colBreaks count="1" manualBreakCount="1">
    <brk id="10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Z50"/>
  <sheetViews>
    <sheetView view="pageBreakPreview" topLeftCell="A7" zoomScaleNormal="100" zoomScaleSheetLayoutView="100" workbookViewId="0">
      <selection activeCell="R48" sqref="R48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346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102" t="s">
        <v>134</v>
      </c>
      <c r="B7" s="54"/>
      <c r="C7" s="54"/>
    </row>
    <row r="8" spans="1:26" s="61" customFormat="1" x14ac:dyDescent="0.2">
      <c r="A8" s="64" t="s">
        <v>340</v>
      </c>
      <c r="D8" s="62"/>
      <c r="E8" s="65"/>
      <c r="J8" s="62"/>
      <c r="K8" s="66"/>
    </row>
    <row r="9" spans="1:26" x14ac:dyDescent="0.2">
      <c r="D9" s="67" t="s">
        <v>344</v>
      </c>
      <c r="E9" s="289">
        <v>0.85</v>
      </c>
      <c r="F9" s="64" t="s">
        <v>345</v>
      </c>
    </row>
    <row r="10" spans="1:26" ht="15.75" x14ac:dyDescent="0.2">
      <c r="D10" s="67" t="s">
        <v>343</v>
      </c>
      <c r="E10" s="68">
        <v>0.8</v>
      </c>
      <c r="F10" s="64" t="s">
        <v>51</v>
      </c>
      <c r="J10" s="67" t="s">
        <v>79</v>
      </c>
      <c r="K10" s="69">
        <f>PI()*E10</f>
        <v>2.5132741228718345</v>
      </c>
      <c r="L10" s="64" t="s">
        <v>51</v>
      </c>
    </row>
    <row r="11" spans="1:26" x14ac:dyDescent="0.2">
      <c r="D11" s="67" t="s">
        <v>52</v>
      </c>
      <c r="E11" s="100">
        <v>4.74</v>
      </c>
      <c r="F11" s="64" t="s">
        <v>51</v>
      </c>
    </row>
    <row r="12" spans="1:26" x14ac:dyDescent="0.2">
      <c r="D12" s="56" t="s">
        <v>89</v>
      </c>
      <c r="E12" s="93">
        <v>-66.760000000000005</v>
      </c>
      <c r="F12" s="64" t="s">
        <v>51</v>
      </c>
      <c r="J12" s="56" t="s">
        <v>90</v>
      </c>
      <c r="K12" s="86">
        <f>K14-E12</f>
        <v>70.260000000000005</v>
      </c>
      <c r="L12" s="64" t="s">
        <v>51</v>
      </c>
    </row>
    <row r="14" spans="1:26" x14ac:dyDescent="0.2">
      <c r="E14" s="67" t="s">
        <v>93</v>
      </c>
      <c r="F14" s="55" t="s">
        <v>356</v>
      </c>
      <c r="J14" s="62" t="s">
        <v>94</v>
      </c>
      <c r="K14" s="71">
        <f>C18</f>
        <v>3.5</v>
      </c>
      <c r="L14" s="64" t="s">
        <v>51</v>
      </c>
      <c r="T14" s="73"/>
    </row>
    <row r="15" spans="1:26" x14ac:dyDescent="0.2">
      <c r="A15" s="57" t="s">
        <v>57</v>
      </c>
      <c r="F15" s="70"/>
      <c r="T15" s="73"/>
    </row>
    <row r="16" spans="1:26" ht="15.75" customHeight="1" x14ac:dyDescent="0.2">
      <c r="A16" s="430" t="s">
        <v>58</v>
      </c>
      <c r="B16" s="430"/>
      <c r="C16" s="328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6"/>
    </row>
    <row r="17" spans="1:20" ht="15.75" x14ac:dyDescent="0.2">
      <c r="A17" s="431"/>
      <c r="B17" s="431"/>
      <c r="C17" s="32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6"/>
    </row>
    <row r="18" spans="1:20" x14ac:dyDescent="0.2">
      <c r="A18" s="445" t="s">
        <v>339</v>
      </c>
      <c r="B18" s="417"/>
      <c r="C18" s="75">
        <v>3.5</v>
      </c>
      <c r="D18" s="418"/>
      <c r="E18" s="419"/>
      <c r="F18" s="420">
        <f t="shared" ref="F18:F36" si="0">IF(AND(C17&gt;$E$12,C18&lt;$E$12)=TRUE,C17-$E$12,IF(AND(C17&lt;$E$12,C18&lt;$E$12)=TRUE,0,IF($F$37&lt;C18,0,IF(F17=0,$F$37-C18,D18))))</f>
        <v>0</v>
      </c>
      <c r="G18" s="421"/>
      <c r="H18" s="420">
        <f>IFERROR(VLOOKUP(A18,InPutSolidPhisicalP!$A$3:$E$17,2,FALSE),0)</f>
        <v>0</v>
      </c>
      <c r="I18" s="422"/>
      <c r="J18" s="421"/>
      <c r="K18" s="420">
        <f>IFERROR(IF($E$10&gt;$E$9,IF(VLOOKUP(A18,InPutSolidPhisicalP!$A$3:$E$17,5,FALSE)="黏性土、粉土",ROUND(VLOOKUP(A18,InPutSolidPhisicalP!$A$3:$E$17,4,FALSE)*(0.8/$E$10)^(1/5),3),ROUND(VLOOKUP(A18,InPutSolidPhisicalP!$A$3:$E$17,4,FALSE)*(0.8/$E$10)^(1/3),3)),VLOOKUP(A18,InPutSolidPhisicalP!$A$3:$E$17,4,FALSE)),0)</f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 t="s">
        <v>123</v>
      </c>
      <c r="B19" s="417"/>
      <c r="C19" s="75">
        <v>1.68</v>
      </c>
      <c r="D19" s="418">
        <f t="shared" ref="D19:D31" si="1">IF(C18-C19&lt;=0,,C18-C19)</f>
        <v>1.82</v>
      </c>
      <c r="E19" s="419"/>
      <c r="F19" s="420">
        <f t="shared" si="0"/>
        <v>0</v>
      </c>
      <c r="G19" s="421"/>
      <c r="H19" s="420">
        <f>IFERROR(VLOOKUP(A19,InPutSolidPhisicalP!$A$3:$E$17,2,FALSE),0)</f>
        <v>0</v>
      </c>
      <c r="I19" s="422"/>
      <c r="J19" s="421"/>
      <c r="K19" s="420">
        <f>IFERROR(IF($E$10&gt;$E$9,IF(VLOOKUP(A19,InPutSolidPhisicalP!$A$3:$E$17,5,FALSE)="黏性土、粉土",ROUND(VLOOKUP(A19,InPutSolidPhisicalP!$A$3:$E$17,4,FALSE)*(0.8/$E$10)^(1/5),3),ROUND(VLOOKUP(A19,InPutSolidPhisicalP!$A$3:$E$17,4,FALSE)*(0.8/$E$10)^(1/3),3)),VLOOKUP(A19,InPutSolidPhisicalP!$A$3:$E$17,4,FALSE)),0)</f>
        <v>0</v>
      </c>
      <c r="L19" s="422"/>
      <c r="M19" s="421"/>
      <c r="N19" s="418">
        <f t="shared" ref="N19:N36" si="2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124</v>
      </c>
      <c r="B20" s="417"/>
      <c r="C20" s="75">
        <v>0.02</v>
      </c>
      <c r="D20" s="418">
        <f t="shared" si="1"/>
        <v>1.66</v>
      </c>
      <c r="E20" s="419"/>
      <c r="F20" s="420">
        <f t="shared" si="0"/>
        <v>0</v>
      </c>
      <c r="G20" s="421"/>
      <c r="H20" s="420">
        <f>IFERROR(VLOOKUP(A20,InPutSolidPhisicalP!$A$3:$E$17,2,FALSE),0)</f>
        <v>15</v>
      </c>
      <c r="I20" s="422"/>
      <c r="J20" s="421"/>
      <c r="K20" s="420">
        <f>IFERROR(IF($E$10&gt;$E$9,IF(VLOOKUP(A20,InPutSolidPhisicalP!$A$3:$E$17,5,FALSE)="黏性土、粉土",ROUND(VLOOKUP(A20,InPutSolidPhisicalP!$A$3:$E$17,4,FALSE)*(0.8/$E$10)^(1/5),3),ROUND(VLOOKUP(A20,InPutSolidPhisicalP!$A$3:$E$17,4,FALSE)*(0.8/$E$10)^(1/3),3)),VLOOKUP(A20,InPutSolidPhisicalP!$A$3:$E$17,4,FALSE)),0)</f>
        <v>0.7</v>
      </c>
      <c r="L20" s="422"/>
      <c r="M20" s="421"/>
      <c r="N20" s="418">
        <f t="shared" si="2"/>
        <v>0</v>
      </c>
      <c r="O20" s="419"/>
      <c r="P20" s="76"/>
      <c r="R20" s="76"/>
      <c r="S20" s="76"/>
      <c r="T20" s="76"/>
    </row>
    <row r="21" spans="1:20" x14ac:dyDescent="0.2">
      <c r="A21" s="417" t="s">
        <v>125</v>
      </c>
      <c r="B21" s="417"/>
      <c r="C21" s="75">
        <v>-6.22</v>
      </c>
      <c r="D21" s="418">
        <f t="shared" si="1"/>
        <v>6.2399999999999993</v>
      </c>
      <c r="E21" s="419"/>
      <c r="F21" s="420">
        <f t="shared" si="0"/>
        <v>0</v>
      </c>
      <c r="G21" s="421"/>
      <c r="H21" s="420">
        <f>IFERROR(VLOOKUP(A21,InPutSolidPhisicalP!$A$3:$E$17,2,FALSE),0)</f>
        <v>15</v>
      </c>
      <c r="I21" s="422"/>
      <c r="J21" s="421"/>
      <c r="K21" s="420">
        <f>IFERROR(IF($E$10&gt;$E$9,IF(VLOOKUP(A21,InPutSolidPhisicalP!$A$3:$E$17,5,FALSE)="黏性土、粉土",ROUND(VLOOKUP(A21,InPutSolidPhisicalP!$A$3:$E$17,4,FALSE)*(0.8/$E$10)^(1/5),3),ROUND(VLOOKUP(A21,InPutSolidPhisicalP!$A$3:$E$17,4,FALSE)*(0.8/$E$10)^(1/3),3)),VLOOKUP(A21,InPutSolidPhisicalP!$A$3:$E$17,4,FALSE)),0)</f>
        <v>0.7</v>
      </c>
      <c r="L21" s="422"/>
      <c r="M21" s="421"/>
      <c r="N21" s="418">
        <f t="shared" si="2"/>
        <v>0</v>
      </c>
      <c r="O21" s="419"/>
      <c r="P21" s="76"/>
      <c r="R21" s="76"/>
      <c r="S21" s="76"/>
      <c r="T21" s="76"/>
    </row>
    <row r="22" spans="1:20" x14ac:dyDescent="0.2">
      <c r="A22" s="417" t="s">
        <v>133</v>
      </c>
      <c r="B22" s="417"/>
      <c r="C22" s="101">
        <v>-14.92</v>
      </c>
      <c r="D22" s="418">
        <f t="shared" si="1"/>
        <v>8.6999999999999993</v>
      </c>
      <c r="E22" s="419"/>
      <c r="F22" s="420">
        <f t="shared" si="0"/>
        <v>0</v>
      </c>
      <c r="G22" s="421"/>
      <c r="H22" s="420">
        <f>IFERROR(VLOOKUP(A22,InPutSolidPhisicalP!$A$3:$E$17,2,FALSE),0)</f>
        <v>20</v>
      </c>
      <c r="I22" s="422"/>
      <c r="J22" s="421"/>
      <c r="K22" s="420">
        <f>IFERROR(IF($E$10&gt;$E$9,IF(VLOOKUP(A22,InPutSolidPhisicalP!$A$3:$E$17,5,FALSE)="黏性土、粉土",ROUND(VLOOKUP(A22,InPutSolidPhisicalP!$A$3:$E$17,4,FALSE)*(0.8/$E$10)^(1/5),3),ROUND(VLOOKUP(A22,InPutSolidPhisicalP!$A$3:$E$17,4,FALSE)*(0.8/$E$10)^(1/3),3)),VLOOKUP(A22,InPutSolidPhisicalP!$A$3:$E$17,4,FALSE)),0)</f>
        <v>0.7</v>
      </c>
      <c r="L22" s="422"/>
      <c r="M22" s="421"/>
      <c r="N22" s="418">
        <f t="shared" si="2"/>
        <v>0</v>
      </c>
      <c r="O22" s="419"/>
      <c r="P22" s="76"/>
      <c r="R22" s="76"/>
      <c r="S22" s="76"/>
      <c r="T22" s="76"/>
    </row>
    <row r="23" spans="1:20" x14ac:dyDescent="0.2">
      <c r="A23" s="417" t="s">
        <v>135</v>
      </c>
      <c r="B23" s="417"/>
      <c r="C23" s="75">
        <v>-18.420000000000002</v>
      </c>
      <c r="D23" s="418">
        <f t="shared" si="1"/>
        <v>3.5000000000000018</v>
      </c>
      <c r="E23" s="419"/>
      <c r="F23" s="420">
        <f t="shared" si="0"/>
        <v>3.0600000000000005</v>
      </c>
      <c r="G23" s="421"/>
      <c r="H23" s="420">
        <f>IFERROR(VLOOKUP(A23,InPutSolidPhisicalP!$A$3:$E$17,2,FALSE),0)</f>
        <v>30</v>
      </c>
      <c r="I23" s="422"/>
      <c r="J23" s="421"/>
      <c r="K23" s="420">
        <f>IFERROR(IF($E$10&gt;$E$9,IF(VLOOKUP(A23,InPutSolidPhisicalP!$A$3:$E$17,5,FALSE)="黏性土、粉土",ROUND(VLOOKUP(A23,InPutSolidPhisicalP!$A$3:$E$17,4,FALSE)*(0.8/$E$10)^(1/5),3),ROUND(VLOOKUP(A23,InPutSolidPhisicalP!$A$3:$E$17,4,FALSE)*(0.8/$E$10)^(1/3),3)),VLOOKUP(A23,InPutSolidPhisicalP!$A$3:$E$17,4,FALSE)),0)</f>
        <v>0.7</v>
      </c>
      <c r="L23" s="422"/>
      <c r="M23" s="421"/>
      <c r="N23" s="418">
        <f>F23*H23*K23</f>
        <v>64.260000000000005</v>
      </c>
      <c r="O23" s="419"/>
      <c r="P23" s="76"/>
      <c r="R23" s="76"/>
      <c r="S23" s="76"/>
      <c r="T23" s="76"/>
    </row>
    <row r="24" spans="1:20" x14ac:dyDescent="0.2">
      <c r="A24" s="417" t="s">
        <v>126</v>
      </c>
      <c r="B24" s="417"/>
      <c r="C24" s="75">
        <v>-24.52</v>
      </c>
      <c r="D24" s="418">
        <f t="shared" si="1"/>
        <v>6.0999999999999979</v>
      </c>
      <c r="E24" s="419"/>
      <c r="F24" s="420">
        <f t="shared" si="0"/>
        <v>6.0999999999999979</v>
      </c>
      <c r="G24" s="421"/>
      <c r="H24" s="420">
        <f>IFERROR(VLOOKUP(A24,InPutSolidPhisicalP!$A$3:$E$17,2,FALSE),0)</f>
        <v>40</v>
      </c>
      <c r="I24" s="422"/>
      <c r="J24" s="421"/>
      <c r="K24" s="420">
        <f>IFERROR(IF($E$10&gt;$E$9,IF(VLOOKUP(A24,InPutSolidPhisicalP!$A$3:$E$17,5,FALSE)="黏性土、粉土",ROUND(VLOOKUP(A24,InPutSolidPhisicalP!$A$3:$E$17,4,FALSE)*(0.8/$E$10)^(1/5),3),ROUND(VLOOKUP(A24,InPutSolidPhisicalP!$A$3:$E$17,4,FALSE)*(0.8/$E$10)^(1/3),3)),VLOOKUP(A24,InPutSolidPhisicalP!$A$3:$E$17,4,FALSE)),0)</f>
        <v>0.65</v>
      </c>
      <c r="L24" s="422"/>
      <c r="M24" s="421"/>
      <c r="N24" s="418">
        <f t="shared" si="2"/>
        <v>158.59999999999994</v>
      </c>
      <c r="O24" s="419"/>
      <c r="P24" s="76"/>
      <c r="R24" s="76"/>
      <c r="S24" s="76"/>
      <c r="T24" s="76"/>
    </row>
    <row r="25" spans="1:20" x14ac:dyDescent="0.2">
      <c r="A25" s="427" t="s">
        <v>129</v>
      </c>
      <c r="B25" s="428"/>
      <c r="C25" s="75">
        <v>-34.82</v>
      </c>
      <c r="D25" s="418">
        <f t="shared" si="1"/>
        <v>10.3</v>
      </c>
      <c r="E25" s="419"/>
      <c r="F25" s="420">
        <f t="shared" si="0"/>
        <v>10.3</v>
      </c>
      <c r="G25" s="421"/>
      <c r="H25" s="420">
        <f>IFERROR(VLOOKUP(A25,InPutSolidPhisicalP!$A$3:$E$17,2,FALSE),0)</f>
        <v>60</v>
      </c>
      <c r="I25" s="422"/>
      <c r="J25" s="421"/>
      <c r="K25" s="420">
        <f>IFERROR(IF($E$10&gt;$E$9,IF(VLOOKUP(A25,InPutSolidPhisicalP!$A$3:$E$17,5,FALSE)="黏性土、粉土",ROUND(VLOOKUP(A25,InPutSolidPhisicalP!$A$3:$E$17,4,FALSE)*(0.8/$E$10)^(1/5),3),ROUND(VLOOKUP(A25,InPutSolidPhisicalP!$A$3:$E$17,4,FALSE)*(0.8/$E$10)^(1/3),3)),VLOOKUP(A25,InPutSolidPhisicalP!$A$3:$E$17,4,FALSE)),0)</f>
        <v>0.65</v>
      </c>
      <c r="L25" s="422"/>
      <c r="M25" s="421"/>
      <c r="N25" s="418">
        <f t="shared" si="2"/>
        <v>401.7</v>
      </c>
      <c r="O25" s="419"/>
      <c r="P25" s="76"/>
      <c r="R25" s="76"/>
      <c r="S25" s="76"/>
      <c r="T25" s="76"/>
    </row>
    <row r="26" spans="1:20" x14ac:dyDescent="0.2">
      <c r="A26" s="427" t="s">
        <v>108</v>
      </c>
      <c r="B26" s="428"/>
      <c r="C26" s="75">
        <v>-38.619999999999997</v>
      </c>
      <c r="D26" s="418">
        <f t="shared" si="1"/>
        <v>3.7999999999999972</v>
      </c>
      <c r="E26" s="419"/>
      <c r="F26" s="420">
        <f t="shared" si="0"/>
        <v>3.7999999999999972</v>
      </c>
      <c r="G26" s="421"/>
      <c r="H26" s="420">
        <f>IFERROR(VLOOKUP(A26,InPutSolidPhisicalP!$A$3:$E$17,2,FALSE),0)</f>
        <v>50</v>
      </c>
      <c r="I26" s="422"/>
      <c r="J26" s="421"/>
      <c r="K26" s="420">
        <f>IFERROR(IF($E$10&gt;$E$9,IF(VLOOKUP(A26,InPutSolidPhisicalP!$A$3:$E$17,5,FALSE)="黏性土、粉土",ROUND(VLOOKUP(A26,InPutSolidPhisicalP!$A$3:$E$17,4,FALSE)*(0.8/$E$10)^(1/5),3),ROUND(VLOOKUP(A26,InPutSolidPhisicalP!$A$3:$E$17,4,FALSE)*(0.8/$E$10)^(1/3),3)),VLOOKUP(A26,InPutSolidPhisicalP!$A$3:$E$17,4,FALSE)),0)</f>
        <v>0.7</v>
      </c>
      <c r="L26" s="422"/>
      <c r="M26" s="421"/>
      <c r="N26" s="418">
        <f t="shared" si="2"/>
        <v>132.99999999999989</v>
      </c>
      <c r="O26" s="419"/>
      <c r="P26" s="76"/>
      <c r="R26" s="76"/>
      <c r="S26" s="76"/>
      <c r="T26" s="76"/>
    </row>
    <row r="27" spans="1:20" x14ac:dyDescent="0.2">
      <c r="A27" s="427" t="s">
        <v>111</v>
      </c>
      <c r="B27" s="428"/>
      <c r="C27" s="75">
        <v>-41.52</v>
      </c>
      <c r="D27" s="418">
        <f t="shared" si="1"/>
        <v>2.9000000000000057</v>
      </c>
      <c r="E27" s="419"/>
      <c r="F27" s="420">
        <f t="shared" si="0"/>
        <v>2.9000000000000057</v>
      </c>
      <c r="G27" s="421"/>
      <c r="H27" s="420">
        <f>IFERROR(VLOOKUP(A27,InPutSolidPhisicalP!$A$3:$E$17,2,FALSE),0)</f>
        <v>55</v>
      </c>
      <c r="I27" s="422"/>
      <c r="J27" s="421"/>
      <c r="K27" s="420">
        <f>IFERROR(IF($E$10&gt;$E$9,IF(VLOOKUP(A27,InPutSolidPhisicalP!$A$3:$E$17,5,FALSE)="黏性土、粉土",ROUND(VLOOKUP(A27,InPutSolidPhisicalP!$A$3:$E$17,4,FALSE)*(0.8/$E$10)^(1/5),3),ROUND(VLOOKUP(A27,InPutSolidPhisicalP!$A$3:$E$17,4,FALSE)*(0.8/$E$10)^(1/3),3)),VLOOKUP(A27,InPutSolidPhisicalP!$A$3:$E$17,4,FALSE)),0)</f>
        <v>0.7</v>
      </c>
      <c r="L27" s="422"/>
      <c r="M27" s="421"/>
      <c r="N27" s="418">
        <f t="shared" si="2"/>
        <v>111.65000000000022</v>
      </c>
      <c r="O27" s="419"/>
      <c r="P27" s="76"/>
      <c r="R27" s="76"/>
      <c r="S27" s="76"/>
      <c r="T27" s="76"/>
    </row>
    <row r="28" spans="1:20" x14ac:dyDescent="0.2">
      <c r="A28" s="427" t="s">
        <v>127</v>
      </c>
      <c r="B28" s="428"/>
      <c r="C28" s="75">
        <v>-44.52</v>
      </c>
      <c r="D28" s="418">
        <f t="shared" si="1"/>
        <v>3</v>
      </c>
      <c r="E28" s="419"/>
      <c r="F28" s="420">
        <f t="shared" si="0"/>
        <v>3</v>
      </c>
      <c r="G28" s="421"/>
      <c r="H28" s="420">
        <f>IFERROR(VLOOKUP(A28,InPutSolidPhisicalP!$A$3:$E$17,2,FALSE),0)</f>
        <v>65</v>
      </c>
      <c r="I28" s="422"/>
      <c r="J28" s="421"/>
      <c r="K28" s="420">
        <f>IFERROR(IF($E$10&gt;$E$9,IF(VLOOKUP(A28,InPutSolidPhisicalP!$A$3:$E$17,5,FALSE)="黏性土、粉土",ROUND(VLOOKUP(A28,InPutSolidPhisicalP!$A$3:$E$17,4,FALSE)*(0.8/$E$10)^(1/5),3),ROUND(VLOOKUP(A28,InPutSolidPhisicalP!$A$3:$E$17,4,FALSE)*(0.8/$E$10)^(1/3),3)),VLOOKUP(A28,InPutSolidPhisicalP!$A$3:$E$17,4,FALSE)),0)</f>
        <v>0.65</v>
      </c>
      <c r="L28" s="422"/>
      <c r="M28" s="421"/>
      <c r="N28" s="418">
        <f t="shared" si="2"/>
        <v>126.75</v>
      </c>
      <c r="O28" s="419"/>
      <c r="P28" s="76"/>
      <c r="R28" s="76"/>
      <c r="S28" s="76"/>
      <c r="T28" s="76"/>
    </row>
    <row r="29" spans="1:20" x14ac:dyDescent="0.2">
      <c r="A29" s="427" t="s">
        <v>128</v>
      </c>
      <c r="B29" s="428"/>
      <c r="C29" s="75">
        <v>-61.62</v>
      </c>
      <c r="D29" s="418">
        <f t="shared" si="1"/>
        <v>17.099999999999994</v>
      </c>
      <c r="E29" s="419"/>
      <c r="F29" s="420">
        <f t="shared" si="0"/>
        <v>17.099999999999994</v>
      </c>
      <c r="G29" s="421"/>
      <c r="H29" s="420">
        <f>IFERROR(VLOOKUP(A29,InPutSolidPhisicalP!$A$3:$E$17,2,FALSE),0)</f>
        <v>55</v>
      </c>
      <c r="I29" s="422"/>
      <c r="J29" s="421"/>
      <c r="K29" s="420">
        <f>IFERROR(IF($E$10&gt;$E$9,IF(VLOOKUP(A29,InPutSolidPhisicalP!$A$3:$E$17,5,FALSE)="黏性土、粉土",ROUND(VLOOKUP(A29,InPutSolidPhisicalP!$A$3:$E$17,4,FALSE)*(0.8/$E$10)^(1/5),3),ROUND(VLOOKUP(A29,InPutSolidPhisicalP!$A$3:$E$17,4,FALSE)*(0.8/$E$10)^(1/3),3)),VLOOKUP(A29,InPutSolidPhisicalP!$A$3:$E$17,4,FALSE)),0)</f>
        <v>0.7</v>
      </c>
      <c r="L29" s="422"/>
      <c r="M29" s="421"/>
      <c r="N29" s="418">
        <f t="shared" si="2"/>
        <v>658.34999999999968</v>
      </c>
      <c r="O29" s="419"/>
      <c r="P29" s="76"/>
      <c r="R29" s="76"/>
      <c r="S29" s="76"/>
      <c r="T29" s="76"/>
    </row>
    <row r="30" spans="1:20" x14ac:dyDescent="0.2">
      <c r="A30" s="417" t="s">
        <v>130</v>
      </c>
      <c r="B30" s="417"/>
      <c r="C30" s="75">
        <v>-65.02</v>
      </c>
      <c r="D30" s="418">
        <f t="shared" si="1"/>
        <v>3.3999999999999986</v>
      </c>
      <c r="E30" s="419"/>
      <c r="F30" s="420">
        <f t="shared" si="0"/>
        <v>3.3999999999999986</v>
      </c>
      <c r="G30" s="421"/>
      <c r="H30" s="420">
        <f>IFERROR(VLOOKUP(A30,InPutSolidPhisicalP!$A$3:$E$17,2,FALSE),0)</f>
        <v>60</v>
      </c>
      <c r="I30" s="422"/>
      <c r="J30" s="421"/>
      <c r="K30" s="420">
        <f>IFERROR(IF($E$10&gt;$E$9,IF(VLOOKUP(A30,InPutSolidPhisicalP!$A$3:$E$17,5,FALSE)="黏性土、粉土",ROUND(VLOOKUP(A30,InPutSolidPhisicalP!$A$3:$E$17,4,FALSE)*(0.8/$E$10)^(1/5),3),ROUND(VLOOKUP(A30,InPutSolidPhisicalP!$A$3:$E$17,4,FALSE)*(0.8/$E$10)^(1/3),3)),VLOOKUP(A30,InPutSolidPhisicalP!$A$3:$E$17,4,FALSE)),0)</f>
        <v>0.65</v>
      </c>
      <c r="L30" s="422"/>
      <c r="M30" s="421"/>
      <c r="N30" s="418">
        <f t="shared" si="2"/>
        <v>132.59999999999994</v>
      </c>
      <c r="O30" s="419"/>
      <c r="P30" s="76"/>
      <c r="R30" s="76"/>
      <c r="S30" s="76"/>
      <c r="T30" s="76"/>
    </row>
    <row r="31" spans="1:20" x14ac:dyDescent="0.2">
      <c r="A31" s="446" t="s">
        <v>131</v>
      </c>
      <c r="B31" s="417"/>
      <c r="C31" s="75">
        <v>-76.02</v>
      </c>
      <c r="D31" s="418">
        <f t="shared" si="1"/>
        <v>11</v>
      </c>
      <c r="E31" s="419"/>
      <c r="F31" s="420">
        <f t="shared" si="0"/>
        <v>1.7400000000000091</v>
      </c>
      <c r="G31" s="421"/>
      <c r="H31" s="420">
        <f>IFERROR(VLOOKUP(A31,InPutSolidPhisicalP!$A$3:$E$17,2,FALSE),0)</f>
        <v>80</v>
      </c>
      <c r="I31" s="422"/>
      <c r="J31" s="421"/>
      <c r="K31" s="420">
        <f>IFERROR(IF($E$10&gt;$E$9,IF(VLOOKUP(A31,InPutSolidPhisicalP!$A$3:$E$17,5,FALSE)="黏性土、粉土",ROUND(VLOOKUP(A31,InPutSolidPhisicalP!$A$3:$E$17,4,FALSE)*(0.8/$E$10)^(1/5),3),ROUND(VLOOKUP(A31,InPutSolidPhisicalP!$A$3:$E$17,4,FALSE)*(0.8/$E$10)^(1/3),3)),VLOOKUP(A31,InPutSolidPhisicalP!$A$3:$E$17,4,FALSE)),0)</f>
        <v>0</v>
      </c>
      <c r="L31" s="422"/>
      <c r="M31" s="421"/>
      <c r="N31" s="418">
        <f t="shared" si="2"/>
        <v>0</v>
      </c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>
        <f>IF(C31-C32&lt;=0,,C31-C32)</f>
        <v>0</v>
      </c>
      <c r="E32" s="419"/>
      <c r="F32" s="420">
        <f t="shared" si="0"/>
        <v>0</v>
      </c>
      <c r="G32" s="421"/>
      <c r="H32" s="420">
        <f>IFERROR(VLOOKUP(A32,InPutSolidPhisicalP!$A$3:$E$17,2,FALSE),0)</f>
        <v>0</v>
      </c>
      <c r="I32" s="422"/>
      <c r="J32" s="421"/>
      <c r="K32" s="420">
        <f>IFERROR(IF($E$10&gt;$E$9,IF(VLOOKUP(A32,InPutSolidPhisicalP!$A$3:$E$17,5,FALSE)="黏性土、粉土",ROUND(VLOOKUP(A32,InPutSolidPhisicalP!$A$3:$E$17,4,FALSE)*(0.8/$E$10)^(1/5),3),ROUND(VLOOKUP(A32,InPutSolidPhisicalP!$A$3:$E$17,4,FALSE)*(0.8/$E$10)^(1/3),3)),VLOOKUP(A32,InPutSolidPhisicalP!$A$3:$E$17,4,FALSE)),0)</f>
        <v>0</v>
      </c>
      <c r="L32" s="422"/>
      <c r="M32" s="421"/>
      <c r="N32" s="418">
        <f t="shared" si="2"/>
        <v>0</v>
      </c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>
        <f t="shared" ref="D33:D36" si="3">IF(C32-C33&lt;=0,,C32-C33)</f>
        <v>0</v>
      </c>
      <c r="E33" s="419"/>
      <c r="F33" s="420">
        <f t="shared" si="0"/>
        <v>0</v>
      </c>
      <c r="G33" s="421"/>
      <c r="H33" s="420">
        <f>IFERROR(VLOOKUP(A33,InPutSolidPhisicalP!$A$3:$E$17,2,FALSE),0)</f>
        <v>0</v>
      </c>
      <c r="I33" s="422"/>
      <c r="J33" s="421"/>
      <c r="K33" s="420">
        <f>IFERROR(IF($E$10&gt;$E$9,IF(VLOOKUP(A33,InPutSolidPhisicalP!$A$3:$E$17,5,FALSE)="黏性土、粉土",ROUND(VLOOKUP(A33,InPutSolidPhisicalP!$A$3:$E$17,4,FALSE)*(0.8/$E$10)^(1/5),3),ROUND(VLOOKUP(A33,InPutSolidPhisicalP!$A$3:$E$17,4,FALSE)*(0.8/$E$10)^(1/3),3)),VLOOKUP(A33,InPutSolidPhisicalP!$A$3:$E$17,4,FALSE)),0)</f>
        <v>0</v>
      </c>
      <c r="L33" s="422"/>
      <c r="M33" s="421"/>
      <c r="N33" s="418">
        <f t="shared" si="2"/>
        <v>0</v>
      </c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>
        <f t="shared" si="3"/>
        <v>0</v>
      </c>
      <c r="E34" s="419"/>
      <c r="F34" s="420">
        <f t="shared" si="0"/>
        <v>0</v>
      </c>
      <c r="G34" s="421"/>
      <c r="H34" s="420">
        <f>IFERROR(VLOOKUP(A34,InPutSolidPhisicalP!$A$3:$E$17,2,FALSE),0)</f>
        <v>0</v>
      </c>
      <c r="I34" s="422"/>
      <c r="J34" s="421"/>
      <c r="K34" s="420">
        <f>IFERROR(IF($E$10&gt;$E$9,IF(VLOOKUP(A34,InPutSolidPhisicalP!$A$3:$E$17,5,FALSE)="黏性土、粉土",ROUND(VLOOKUP(A34,InPutSolidPhisicalP!$A$3:$E$17,4,FALSE)*(0.8/$E$10)^(1/5),3),ROUND(VLOOKUP(A34,InPutSolidPhisicalP!$A$3:$E$17,4,FALSE)*(0.8/$E$10)^(1/3),3)),VLOOKUP(A34,InPutSolidPhisicalP!$A$3:$E$17,4,FALSE)),0)</f>
        <v>0</v>
      </c>
      <c r="L34" s="422"/>
      <c r="M34" s="421"/>
      <c r="N34" s="418">
        <f t="shared" si="2"/>
        <v>0</v>
      </c>
      <c r="O34" s="419"/>
      <c r="P34" s="76"/>
      <c r="R34" s="76"/>
      <c r="S34" s="76"/>
      <c r="T34" s="73"/>
    </row>
    <row r="35" spans="1:20" x14ac:dyDescent="0.2">
      <c r="A35" s="446"/>
      <c r="B35" s="417"/>
      <c r="C35" s="87"/>
      <c r="D35" s="418">
        <f t="shared" si="3"/>
        <v>0</v>
      </c>
      <c r="E35" s="419"/>
      <c r="F35" s="420">
        <f t="shared" si="0"/>
        <v>0</v>
      </c>
      <c r="G35" s="421"/>
      <c r="H35" s="420">
        <f>IFERROR(VLOOKUP(A35,InPutSolidPhisicalP!$A$3:$E$17,2,FALSE),0)</f>
        <v>0</v>
      </c>
      <c r="I35" s="422"/>
      <c r="J35" s="421"/>
      <c r="K35" s="420">
        <f>IFERROR(IF($E$10&gt;$E$9,IF(VLOOKUP(A35,InPutSolidPhisicalP!$A$3:$E$17,5,FALSE)="黏性土、粉土",ROUND(VLOOKUP(A35,InPutSolidPhisicalP!$A$3:$E$17,4,FALSE)*(0.8/$E$10)^(1/5),3),ROUND(VLOOKUP(A35,InPutSolidPhisicalP!$A$3:$E$17,4,FALSE)*(0.8/$E$10)^(1/3),3)),VLOOKUP(A35,InPutSolidPhisicalP!$A$3:$E$17,4,FALSE)),0)</f>
        <v>0</v>
      </c>
      <c r="L35" s="422"/>
      <c r="M35" s="421"/>
      <c r="N35" s="418">
        <f t="shared" si="2"/>
        <v>0</v>
      </c>
      <c r="O35" s="419"/>
      <c r="P35" s="76"/>
      <c r="R35" s="76"/>
      <c r="S35" s="76"/>
      <c r="T35" s="77"/>
    </row>
    <row r="36" spans="1:20" x14ac:dyDescent="0.2">
      <c r="A36" s="417"/>
      <c r="B36" s="417"/>
      <c r="C36" s="330"/>
      <c r="D36" s="418">
        <f t="shared" si="3"/>
        <v>0</v>
      </c>
      <c r="E36" s="419"/>
      <c r="F36" s="420">
        <f t="shared" si="0"/>
        <v>0</v>
      </c>
      <c r="G36" s="421"/>
      <c r="H36" s="420">
        <f>IFERROR(VLOOKUP(A36,InPutSolidPhisicalP!$A$3:$E$17,2,FALSE),0)</f>
        <v>0</v>
      </c>
      <c r="I36" s="422"/>
      <c r="J36" s="421"/>
      <c r="K36" s="420">
        <f>IFERROR(IF($E$10&gt;$E$9,IF(VLOOKUP(A36,InPutSolidPhisicalP!$A$3:$E$17,5,FALSE)="黏性土、粉土",ROUND(VLOOKUP(A36,InPutSolidPhisicalP!$A$3:$E$17,4,FALSE)*(0.8/$E$10)^(1/5),3),ROUND(VLOOKUP(A36,InPutSolidPhisicalP!$A$3:$E$17,4,FALSE)*(0.8/$E$10)^(1/3),3)),VLOOKUP(A36,InPutSolidPhisicalP!$A$3:$E$17,4,FALSE)),0)</f>
        <v>0</v>
      </c>
      <c r="L36" s="422"/>
      <c r="M36" s="421"/>
      <c r="N36" s="418">
        <f t="shared" si="2"/>
        <v>0</v>
      </c>
      <c r="O36" s="419"/>
      <c r="P36" s="76"/>
      <c r="Q36" s="76"/>
      <c r="R36" s="77"/>
      <c r="S36" s="77"/>
    </row>
    <row r="37" spans="1:20" x14ac:dyDescent="0.2">
      <c r="E37" s="67" t="s">
        <v>62</v>
      </c>
      <c r="F37" s="97">
        <v>-15.360000000000001</v>
      </c>
      <c r="G37" s="64" t="s">
        <v>51</v>
      </c>
      <c r="M37" s="83" t="s">
        <v>85</v>
      </c>
      <c r="N37" s="448">
        <f>SUM(N18:O36)</f>
        <v>1786.9099999999996</v>
      </c>
      <c r="O37" s="426"/>
      <c r="Q37" s="67"/>
      <c r="R37" s="449"/>
      <c r="S37" s="449"/>
    </row>
    <row r="38" spans="1:20" x14ac:dyDescent="0.2">
      <c r="E38" s="67" t="s">
        <v>53</v>
      </c>
      <c r="F38" s="64">
        <f>F37-F39</f>
        <v>-66.760000000000005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51.400000000000006</v>
      </c>
      <c r="G39" s="64" t="s">
        <v>51</v>
      </c>
    </row>
    <row r="40" spans="1:20" x14ac:dyDescent="0.2">
      <c r="E40" s="67" t="s">
        <v>81</v>
      </c>
      <c r="F40" s="67">
        <f>K10</f>
        <v>2.5132741228718345</v>
      </c>
      <c r="G40" s="80" t="s">
        <v>65</v>
      </c>
      <c r="H40" s="79">
        <f>N37</f>
        <v>1786.9099999999996</v>
      </c>
      <c r="I40" s="80"/>
    </row>
    <row r="41" spans="1:20" x14ac:dyDescent="0.2">
      <c r="E41" s="67" t="s">
        <v>66</v>
      </c>
      <c r="F41" s="412">
        <f>F40*H40</f>
        <v>4490.9946629009091</v>
      </c>
      <c r="G41" s="412"/>
      <c r="H41" s="64" t="s">
        <v>64</v>
      </c>
      <c r="I41" s="80"/>
      <c r="J41" s="332"/>
      <c r="K41" s="332"/>
    </row>
    <row r="43" spans="1:20" x14ac:dyDescent="0.2">
      <c r="A43" s="57" t="s">
        <v>68</v>
      </c>
    </row>
    <row r="44" spans="1:20" x14ac:dyDescent="0.2">
      <c r="G44" s="56" t="s">
        <v>86</v>
      </c>
      <c r="H44" s="450">
        <f>F41</f>
        <v>4490.9946629009091</v>
      </c>
      <c r="I44" s="450"/>
      <c r="J44" s="64" t="s">
        <v>64</v>
      </c>
    </row>
    <row r="45" spans="1:20" x14ac:dyDescent="0.2">
      <c r="G45" s="56" t="s">
        <v>87</v>
      </c>
      <c r="H45" s="331">
        <f>F39</f>
        <v>51.400000000000006</v>
      </c>
      <c r="I45" s="331" t="s">
        <v>65</v>
      </c>
      <c r="J45" s="80">
        <v>15</v>
      </c>
      <c r="K45" s="80" t="s">
        <v>65</v>
      </c>
      <c r="L45" s="79">
        <f>PI()*E10^2/4</f>
        <v>0.50265482457436694</v>
      </c>
    </row>
    <row r="46" spans="1:20" x14ac:dyDescent="0.2">
      <c r="G46" s="67" t="s">
        <v>66</v>
      </c>
      <c r="H46" s="450">
        <f>H45*J45*L45</f>
        <v>387.54686974683699</v>
      </c>
      <c r="I46" s="450"/>
      <c r="J46" s="64" t="s">
        <v>64</v>
      </c>
    </row>
    <row r="47" spans="1:20" x14ac:dyDescent="0.2">
      <c r="G47" s="56" t="s">
        <v>91</v>
      </c>
      <c r="H47" s="450">
        <f>H44</f>
        <v>4490.9946629009091</v>
      </c>
      <c r="I47" s="450"/>
      <c r="J47" s="64" t="s">
        <v>82</v>
      </c>
      <c r="K47" s="80" t="s">
        <v>67</v>
      </c>
      <c r="L47" s="451">
        <f>H46</f>
        <v>387.54686974683699</v>
      </c>
      <c r="M47" s="451"/>
    </row>
    <row r="48" spans="1:20" x14ac:dyDescent="0.2">
      <c r="G48" s="67" t="s">
        <v>66</v>
      </c>
      <c r="H48" s="414">
        <f>H47/2+L47</f>
        <v>2633.0442011972914</v>
      </c>
      <c r="I48" s="414"/>
      <c r="J48" s="57" t="s">
        <v>64</v>
      </c>
      <c r="K48" s="113" t="s">
        <v>159</v>
      </c>
      <c r="L48" s="114">
        <v>10</v>
      </c>
    </row>
    <row r="49" spans="1:12" x14ac:dyDescent="0.2">
      <c r="G49" s="56" t="s">
        <v>88</v>
      </c>
      <c r="H49" s="415">
        <f>FLOOR(H48,L48)</f>
        <v>2630</v>
      </c>
      <c r="I49" s="416"/>
      <c r="J49" s="58" t="s">
        <v>64</v>
      </c>
      <c r="L49" s="85"/>
    </row>
    <row r="50" spans="1:12" x14ac:dyDescent="0.2">
      <c r="A50" s="85"/>
    </row>
  </sheetData>
  <mergeCells count="139">
    <mergeCell ref="V3:X3"/>
    <mergeCell ref="Y3:Z3"/>
    <mergeCell ref="V4:X4"/>
    <mergeCell ref="Y4:Z4"/>
    <mergeCell ref="V5:X5"/>
    <mergeCell ref="Y5:Z5"/>
    <mergeCell ref="A18:B18"/>
    <mergeCell ref="D18:E18"/>
    <mergeCell ref="F18:G18"/>
    <mergeCell ref="H18:J18"/>
    <mergeCell ref="K18:M18"/>
    <mergeCell ref="N18:O18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  <mergeCell ref="A20:B20"/>
    <mergeCell ref="D20:E20"/>
    <mergeCell ref="F20:G20"/>
    <mergeCell ref="H20:J20"/>
    <mergeCell ref="K20:M20"/>
    <mergeCell ref="N20:O20"/>
    <mergeCell ref="A19:B19"/>
    <mergeCell ref="D19:E19"/>
    <mergeCell ref="F19:G19"/>
    <mergeCell ref="H19:J19"/>
    <mergeCell ref="K19:M19"/>
    <mergeCell ref="N19:O19"/>
    <mergeCell ref="A22:B22"/>
    <mergeCell ref="D22:E22"/>
    <mergeCell ref="F22:G22"/>
    <mergeCell ref="H22:J22"/>
    <mergeCell ref="K22:M22"/>
    <mergeCell ref="N22:O22"/>
    <mergeCell ref="A21:B21"/>
    <mergeCell ref="D21:E21"/>
    <mergeCell ref="F21:G21"/>
    <mergeCell ref="H21:J21"/>
    <mergeCell ref="K21:M21"/>
    <mergeCell ref="N21:O21"/>
    <mergeCell ref="A24:B24"/>
    <mergeCell ref="D24:E24"/>
    <mergeCell ref="F24:G24"/>
    <mergeCell ref="H24:J24"/>
    <mergeCell ref="K24:M24"/>
    <mergeCell ref="N24:O24"/>
    <mergeCell ref="A23:B23"/>
    <mergeCell ref="D23:E23"/>
    <mergeCell ref="F23:G23"/>
    <mergeCell ref="H23:J23"/>
    <mergeCell ref="K23:M23"/>
    <mergeCell ref="N23:O23"/>
    <mergeCell ref="A26:B26"/>
    <mergeCell ref="D26:E26"/>
    <mergeCell ref="F26:G26"/>
    <mergeCell ref="H26:J26"/>
    <mergeCell ref="K26:M26"/>
    <mergeCell ref="N26:O26"/>
    <mergeCell ref="A25:B25"/>
    <mergeCell ref="D25:E25"/>
    <mergeCell ref="F25:G25"/>
    <mergeCell ref="H25:J25"/>
    <mergeCell ref="K25:M25"/>
    <mergeCell ref="N25:O25"/>
    <mergeCell ref="A28:B28"/>
    <mergeCell ref="D28:E28"/>
    <mergeCell ref="F28:G28"/>
    <mergeCell ref="H28:J28"/>
    <mergeCell ref="K28:M28"/>
    <mergeCell ref="N28:O28"/>
    <mergeCell ref="A27:B27"/>
    <mergeCell ref="D27:E27"/>
    <mergeCell ref="F27:G27"/>
    <mergeCell ref="H27:J27"/>
    <mergeCell ref="K27:M27"/>
    <mergeCell ref="N27:O27"/>
    <mergeCell ref="A30:B30"/>
    <mergeCell ref="D30:E30"/>
    <mergeCell ref="F30:G30"/>
    <mergeCell ref="H30:J30"/>
    <mergeCell ref="K30:M30"/>
    <mergeCell ref="N30:O30"/>
    <mergeCell ref="A29:B29"/>
    <mergeCell ref="D29:E29"/>
    <mergeCell ref="F29:G29"/>
    <mergeCell ref="H29:J29"/>
    <mergeCell ref="K29:M29"/>
    <mergeCell ref="N29:O29"/>
    <mergeCell ref="A32:B32"/>
    <mergeCell ref="D32:E32"/>
    <mergeCell ref="F32:G32"/>
    <mergeCell ref="H32:J32"/>
    <mergeCell ref="K32:M32"/>
    <mergeCell ref="N32:O32"/>
    <mergeCell ref="A31:B31"/>
    <mergeCell ref="D31:E31"/>
    <mergeCell ref="F31:G31"/>
    <mergeCell ref="H31:J31"/>
    <mergeCell ref="K31:M31"/>
    <mergeCell ref="N31:O31"/>
    <mergeCell ref="A34:B34"/>
    <mergeCell ref="D34:E34"/>
    <mergeCell ref="F34:G34"/>
    <mergeCell ref="H34:J34"/>
    <mergeCell ref="K34:M34"/>
    <mergeCell ref="N34:O34"/>
    <mergeCell ref="A33:B33"/>
    <mergeCell ref="D33:E33"/>
    <mergeCell ref="F33:G33"/>
    <mergeCell ref="H33:J33"/>
    <mergeCell ref="K33:M33"/>
    <mergeCell ref="N33:O33"/>
    <mergeCell ref="A36:B36"/>
    <mergeCell ref="D36:E36"/>
    <mergeCell ref="F36:G36"/>
    <mergeCell ref="H36:J36"/>
    <mergeCell ref="K36:M36"/>
    <mergeCell ref="N36:O36"/>
    <mergeCell ref="A35:B35"/>
    <mergeCell ref="D35:E35"/>
    <mergeCell ref="F35:G35"/>
    <mergeCell ref="H35:J35"/>
    <mergeCell ref="K35:M35"/>
    <mergeCell ref="N35:O35"/>
    <mergeCell ref="H48:I48"/>
    <mergeCell ref="H49:I49"/>
    <mergeCell ref="N37:O37"/>
    <mergeCell ref="R37:S37"/>
    <mergeCell ref="F41:G41"/>
    <mergeCell ref="H44:I44"/>
    <mergeCell ref="H46:I46"/>
    <mergeCell ref="H47:I47"/>
    <mergeCell ref="L47:M4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Z46"/>
  <sheetViews>
    <sheetView view="pageBreakPreview" zoomScaleNormal="100" zoomScaleSheetLayoutView="100" workbookViewId="0">
      <selection activeCell="C4" sqref="C4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7" width="6.7109375" style="64" customWidth="1"/>
    <col min="8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76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94" t="s">
        <v>100</v>
      </c>
      <c r="B7" s="54"/>
      <c r="C7" s="54"/>
    </row>
    <row r="8" spans="1:26" s="61" customFormat="1" x14ac:dyDescent="0.2">
      <c r="A8" s="64" t="s">
        <v>121</v>
      </c>
      <c r="D8" s="62"/>
      <c r="E8" s="65"/>
      <c r="J8" s="62"/>
      <c r="K8" s="66"/>
    </row>
    <row r="10" spans="1:26" ht="15.75" x14ac:dyDescent="0.2">
      <c r="D10" s="67" t="s">
        <v>56</v>
      </c>
      <c r="E10" s="68">
        <v>0.65</v>
      </c>
      <c r="F10" s="64" t="s">
        <v>51</v>
      </c>
      <c r="J10" s="67" t="s">
        <v>79</v>
      </c>
      <c r="K10" s="69">
        <f>PI()*E10</f>
        <v>2.0420352248333655</v>
      </c>
      <c r="L10" s="64" t="s">
        <v>51</v>
      </c>
    </row>
    <row r="11" spans="1:26" x14ac:dyDescent="0.2">
      <c r="D11" s="67" t="s">
        <v>52</v>
      </c>
      <c r="E11" s="98">
        <v>4</v>
      </c>
      <c r="F11" s="64" t="s">
        <v>51</v>
      </c>
    </row>
    <row r="12" spans="1:26" x14ac:dyDescent="0.2">
      <c r="D12" s="56" t="s">
        <v>89</v>
      </c>
      <c r="E12" s="93">
        <v>-42.8</v>
      </c>
      <c r="F12" s="64" t="s">
        <v>51</v>
      </c>
      <c r="G12" s="89" t="s">
        <v>118</v>
      </c>
      <c r="J12" s="56" t="s">
        <v>90</v>
      </c>
      <c r="K12" s="86">
        <f>K14-E12</f>
        <v>46.8</v>
      </c>
      <c r="L12" s="64" t="s">
        <v>51</v>
      </c>
    </row>
    <row r="14" spans="1:26" x14ac:dyDescent="0.2">
      <c r="E14" s="67" t="s">
        <v>93</v>
      </c>
      <c r="F14" s="55" t="s">
        <v>101</v>
      </c>
      <c r="J14" s="62" t="s">
        <v>94</v>
      </c>
      <c r="K14" s="71">
        <v>4</v>
      </c>
      <c r="L14" s="64" t="s">
        <v>51</v>
      </c>
    </row>
    <row r="15" spans="1:26" x14ac:dyDescent="0.2">
      <c r="A15" s="57" t="s">
        <v>57</v>
      </c>
      <c r="F15" s="70"/>
    </row>
    <row r="16" spans="1:26" ht="15.75" customHeight="1" x14ac:dyDescent="0.2">
      <c r="A16" s="430" t="s">
        <v>58</v>
      </c>
      <c r="B16" s="430"/>
      <c r="C16" s="72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3"/>
    </row>
    <row r="17" spans="1:20" ht="15.75" x14ac:dyDescent="0.2">
      <c r="A17" s="431"/>
      <c r="B17" s="431"/>
      <c r="C17" s="5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3"/>
    </row>
    <row r="18" spans="1:20" x14ac:dyDescent="0.2">
      <c r="A18" s="446"/>
      <c r="B18" s="417"/>
      <c r="C18" s="75">
        <f>E11</f>
        <v>4</v>
      </c>
      <c r="D18" s="418"/>
      <c r="E18" s="419"/>
      <c r="F18" s="420">
        <v>0</v>
      </c>
      <c r="G18" s="421"/>
      <c r="H18" s="420">
        <v>0</v>
      </c>
      <c r="I18" s="422"/>
      <c r="J18" s="421"/>
      <c r="K18" s="420"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>
        <v>0</v>
      </c>
      <c r="B19" s="417"/>
      <c r="C19" s="75">
        <f>K14</f>
        <v>4</v>
      </c>
      <c r="D19" s="418">
        <f>C18-C19</f>
        <v>0</v>
      </c>
      <c r="E19" s="419"/>
      <c r="F19" s="420">
        <v>0</v>
      </c>
      <c r="G19" s="421"/>
      <c r="H19" s="420">
        <v>0</v>
      </c>
      <c r="I19" s="422"/>
      <c r="J19" s="421"/>
      <c r="K19" s="420">
        <v>0</v>
      </c>
      <c r="L19" s="422"/>
      <c r="M19" s="421"/>
      <c r="N19" s="418">
        <f t="shared" ref="N19:N28" si="0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95</v>
      </c>
      <c r="B20" s="417"/>
      <c r="C20" s="75">
        <v>0.6</v>
      </c>
      <c r="D20" s="418">
        <f>C19-C20</f>
        <v>3.4</v>
      </c>
      <c r="E20" s="419"/>
      <c r="F20" s="420">
        <v>0</v>
      </c>
      <c r="G20" s="421"/>
      <c r="H20" s="420">
        <v>0</v>
      </c>
      <c r="I20" s="422"/>
      <c r="J20" s="421"/>
      <c r="K20" s="420">
        <v>0</v>
      </c>
      <c r="L20" s="422"/>
      <c r="M20" s="421"/>
      <c r="N20" s="418">
        <f t="shared" si="0"/>
        <v>0</v>
      </c>
      <c r="O20" s="419"/>
      <c r="P20" s="76"/>
      <c r="R20" s="76"/>
      <c r="S20" s="76"/>
      <c r="T20" s="76"/>
    </row>
    <row r="21" spans="1:20" x14ac:dyDescent="0.2">
      <c r="A21" s="417" t="s">
        <v>102</v>
      </c>
      <c r="B21" s="417"/>
      <c r="C21" s="75">
        <v>-7</v>
      </c>
      <c r="D21" s="418">
        <f>C20-C21</f>
        <v>7.6</v>
      </c>
      <c r="E21" s="419"/>
      <c r="F21" s="420">
        <v>0</v>
      </c>
      <c r="G21" s="421"/>
      <c r="H21" s="420">
        <v>15</v>
      </c>
      <c r="I21" s="422"/>
      <c r="J21" s="421"/>
      <c r="K21" s="420">
        <v>0.75</v>
      </c>
      <c r="L21" s="422"/>
      <c r="M21" s="421"/>
      <c r="N21" s="418">
        <f t="shared" si="0"/>
        <v>0</v>
      </c>
      <c r="O21" s="419"/>
      <c r="P21" s="76"/>
      <c r="R21" s="76"/>
      <c r="S21" s="76"/>
      <c r="T21" s="76"/>
    </row>
    <row r="22" spans="1:20" x14ac:dyDescent="0.2">
      <c r="A22" s="417" t="s">
        <v>96</v>
      </c>
      <c r="B22" s="417"/>
      <c r="C22" s="75">
        <v>-12</v>
      </c>
      <c r="D22" s="418">
        <f>C21-C22</f>
        <v>5</v>
      </c>
      <c r="E22" s="419"/>
      <c r="F22" s="420">
        <v>0</v>
      </c>
      <c r="G22" s="421"/>
      <c r="H22" s="420">
        <v>15</v>
      </c>
      <c r="I22" s="422"/>
      <c r="J22" s="421"/>
      <c r="K22" s="420">
        <v>0.75</v>
      </c>
      <c r="L22" s="422"/>
      <c r="M22" s="421"/>
      <c r="N22" s="418">
        <f t="shared" si="0"/>
        <v>0</v>
      </c>
      <c r="O22" s="419"/>
      <c r="P22" s="76"/>
      <c r="R22" s="76"/>
      <c r="S22" s="76"/>
      <c r="T22" s="76"/>
    </row>
    <row r="23" spans="1:20" x14ac:dyDescent="0.2">
      <c r="A23" s="417" t="s">
        <v>97</v>
      </c>
      <c r="B23" s="417"/>
      <c r="C23" s="75">
        <v>-15.1</v>
      </c>
      <c r="D23" s="418">
        <f t="shared" ref="D23:D29" si="1">C22-C23</f>
        <v>3.0999999999999996</v>
      </c>
      <c r="E23" s="419"/>
      <c r="F23" s="420">
        <v>0</v>
      </c>
      <c r="G23" s="421"/>
      <c r="H23" s="420">
        <v>30</v>
      </c>
      <c r="I23" s="422"/>
      <c r="J23" s="421"/>
      <c r="K23" s="420">
        <v>0.75</v>
      </c>
      <c r="L23" s="422"/>
      <c r="M23" s="421"/>
      <c r="N23" s="418">
        <f>F23*H23*K23</f>
        <v>0</v>
      </c>
      <c r="O23" s="419"/>
      <c r="P23" s="76"/>
      <c r="R23" s="76"/>
      <c r="S23" s="76"/>
      <c r="T23" s="76"/>
    </row>
    <row r="24" spans="1:20" x14ac:dyDescent="0.2">
      <c r="A24" s="417" t="s">
        <v>103</v>
      </c>
      <c r="B24" s="417"/>
      <c r="C24" s="75">
        <v>-44.5</v>
      </c>
      <c r="D24" s="418">
        <f t="shared" si="1"/>
        <v>29.4</v>
      </c>
      <c r="E24" s="419"/>
      <c r="F24" s="452">
        <f>F37-E12</f>
        <v>27.499999999999996</v>
      </c>
      <c r="G24" s="421"/>
      <c r="H24" s="420">
        <v>45</v>
      </c>
      <c r="I24" s="422"/>
      <c r="J24" s="421"/>
      <c r="K24" s="420">
        <v>0.65</v>
      </c>
      <c r="L24" s="422"/>
      <c r="M24" s="421"/>
      <c r="N24" s="418">
        <f t="shared" si="0"/>
        <v>804.37499999999989</v>
      </c>
      <c r="O24" s="419"/>
      <c r="P24" s="76"/>
      <c r="R24" s="76"/>
      <c r="S24" s="76"/>
      <c r="T24" s="76"/>
    </row>
    <row r="25" spans="1:20" x14ac:dyDescent="0.2">
      <c r="A25" s="427" t="s">
        <v>98</v>
      </c>
      <c r="B25" s="428"/>
      <c r="C25" s="75">
        <v>-49</v>
      </c>
      <c r="D25" s="418">
        <f t="shared" si="1"/>
        <v>4.5</v>
      </c>
      <c r="E25" s="419"/>
      <c r="F25" s="420"/>
      <c r="G25" s="421"/>
      <c r="H25" s="420">
        <v>55</v>
      </c>
      <c r="I25" s="422"/>
      <c r="J25" s="421"/>
      <c r="K25" s="420">
        <v>0.65</v>
      </c>
      <c r="L25" s="422"/>
      <c r="M25" s="421"/>
      <c r="N25" s="418">
        <f>F25*H25*K25</f>
        <v>0</v>
      </c>
      <c r="O25" s="419"/>
      <c r="P25" s="76"/>
      <c r="R25" s="76"/>
      <c r="S25" s="76"/>
      <c r="T25" s="76"/>
    </row>
    <row r="26" spans="1:20" x14ac:dyDescent="0.2">
      <c r="A26" s="427" t="s">
        <v>104</v>
      </c>
      <c r="B26" s="428"/>
      <c r="C26" s="75">
        <v>-56</v>
      </c>
      <c r="D26" s="418">
        <f t="shared" si="1"/>
        <v>7</v>
      </c>
      <c r="E26" s="419"/>
      <c r="F26" s="453"/>
      <c r="G26" s="421"/>
      <c r="H26" s="420">
        <v>50</v>
      </c>
      <c r="I26" s="422"/>
      <c r="J26" s="421"/>
      <c r="K26" s="420">
        <v>0.75</v>
      </c>
      <c r="L26" s="422"/>
      <c r="M26" s="421"/>
      <c r="N26" s="418">
        <f>F26*H26*K26</f>
        <v>0</v>
      </c>
      <c r="O26" s="419"/>
      <c r="P26" s="76"/>
      <c r="R26" s="76"/>
      <c r="S26" s="76"/>
      <c r="T26" s="76"/>
    </row>
    <row r="27" spans="1:20" x14ac:dyDescent="0.2">
      <c r="A27" s="427" t="s">
        <v>105</v>
      </c>
      <c r="B27" s="428"/>
      <c r="C27" s="75">
        <v>-61</v>
      </c>
      <c r="D27" s="418">
        <f t="shared" si="1"/>
        <v>5</v>
      </c>
      <c r="E27" s="419"/>
      <c r="F27" s="420"/>
      <c r="G27" s="421"/>
      <c r="H27" s="420">
        <v>60</v>
      </c>
      <c r="I27" s="422"/>
      <c r="J27" s="421"/>
      <c r="K27" s="420">
        <v>0.75</v>
      </c>
      <c r="L27" s="422"/>
      <c r="M27" s="421"/>
      <c r="N27" s="418">
        <f t="shared" si="0"/>
        <v>0</v>
      </c>
      <c r="O27" s="419"/>
      <c r="P27" s="76"/>
      <c r="R27" s="76"/>
      <c r="S27" s="76"/>
      <c r="T27" s="76"/>
    </row>
    <row r="28" spans="1:20" x14ac:dyDescent="0.2">
      <c r="A28" s="427" t="s">
        <v>99</v>
      </c>
      <c r="B28" s="428"/>
      <c r="C28" s="75">
        <v>-66</v>
      </c>
      <c r="D28" s="418">
        <f t="shared" si="1"/>
        <v>5</v>
      </c>
      <c r="E28" s="419"/>
      <c r="F28" s="452"/>
      <c r="G28" s="421"/>
      <c r="H28" s="420">
        <v>65</v>
      </c>
      <c r="I28" s="422"/>
      <c r="J28" s="421"/>
      <c r="K28" s="420">
        <v>0.65</v>
      </c>
      <c r="L28" s="422"/>
      <c r="M28" s="421"/>
      <c r="N28" s="418">
        <f t="shared" si="0"/>
        <v>0</v>
      </c>
      <c r="O28" s="419"/>
      <c r="P28" s="76"/>
      <c r="R28" s="76"/>
      <c r="S28" s="76"/>
      <c r="T28" s="76"/>
    </row>
    <row r="29" spans="1:20" x14ac:dyDescent="0.2">
      <c r="A29" s="427" t="s">
        <v>106</v>
      </c>
      <c r="B29" s="428"/>
      <c r="C29" s="75">
        <v>-76</v>
      </c>
      <c r="D29" s="418">
        <f t="shared" si="1"/>
        <v>10</v>
      </c>
      <c r="E29" s="419"/>
      <c r="F29" s="452"/>
      <c r="G29" s="421"/>
      <c r="H29" s="420">
        <v>82</v>
      </c>
      <c r="I29" s="422"/>
      <c r="J29" s="421"/>
      <c r="K29" s="420"/>
      <c r="L29" s="422"/>
      <c r="M29" s="421"/>
      <c r="N29" s="418"/>
      <c r="O29" s="419"/>
      <c r="P29" s="76"/>
      <c r="R29" s="76"/>
      <c r="S29" s="76"/>
      <c r="T29" s="76"/>
    </row>
    <row r="30" spans="1:20" x14ac:dyDescent="0.2">
      <c r="A30" s="417"/>
      <c r="B30" s="417"/>
      <c r="C30" s="75"/>
      <c r="D30" s="418"/>
      <c r="E30" s="419"/>
      <c r="F30" s="452"/>
      <c r="G30" s="421"/>
      <c r="H30" s="420"/>
      <c r="I30" s="422"/>
      <c r="J30" s="421"/>
      <c r="K30" s="420"/>
      <c r="L30" s="422"/>
      <c r="M30" s="421"/>
      <c r="N30" s="418"/>
      <c r="O30" s="419"/>
      <c r="P30" s="76"/>
      <c r="R30" s="76"/>
      <c r="S30" s="76"/>
      <c r="T30" s="76"/>
    </row>
    <row r="31" spans="1:20" x14ac:dyDescent="0.2">
      <c r="A31" s="417"/>
      <c r="B31" s="417"/>
      <c r="C31" s="75"/>
      <c r="D31" s="418"/>
      <c r="E31" s="419"/>
      <c r="F31" s="452"/>
      <c r="G31" s="454"/>
      <c r="H31" s="420"/>
      <c r="I31" s="422"/>
      <c r="J31" s="421"/>
      <c r="K31" s="420"/>
      <c r="L31" s="422"/>
      <c r="M31" s="421"/>
      <c r="N31" s="418"/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/>
      <c r="E32" s="419"/>
      <c r="F32" s="455"/>
      <c r="G32" s="456"/>
      <c r="H32" s="420"/>
      <c r="I32" s="422"/>
      <c r="J32" s="421"/>
      <c r="K32" s="420"/>
      <c r="L32" s="422"/>
      <c r="M32" s="421"/>
      <c r="N32" s="418"/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/>
      <c r="E33" s="419"/>
      <c r="F33" s="457"/>
      <c r="G33" s="458"/>
      <c r="H33" s="420"/>
      <c r="I33" s="422"/>
      <c r="J33" s="421"/>
      <c r="K33" s="420"/>
      <c r="L33" s="422"/>
      <c r="M33" s="421"/>
      <c r="N33" s="418"/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/>
      <c r="E34" s="419"/>
      <c r="F34" s="457"/>
      <c r="G34" s="458"/>
      <c r="H34" s="420"/>
      <c r="I34" s="422"/>
      <c r="J34" s="421"/>
      <c r="K34" s="420"/>
      <c r="L34" s="422"/>
      <c r="M34" s="421"/>
      <c r="N34" s="418"/>
      <c r="O34" s="419"/>
      <c r="P34" s="76"/>
      <c r="R34" s="76"/>
      <c r="S34" s="76"/>
      <c r="T34" s="76"/>
    </row>
    <row r="35" spans="1:20" x14ac:dyDescent="0.2">
      <c r="A35" s="446"/>
      <c r="B35" s="417"/>
      <c r="C35" s="87"/>
      <c r="D35" s="418"/>
      <c r="E35" s="419"/>
      <c r="F35" s="420"/>
      <c r="G35" s="421"/>
      <c r="H35" s="420"/>
      <c r="I35" s="422"/>
      <c r="J35" s="421"/>
      <c r="K35" s="420"/>
      <c r="L35" s="422"/>
      <c r="M35" s="421"/>
      <c r="N35" s="418"/>
      <c r="O35" s="419"/>
      <c r="P35" s="76"/>
      <c r="R35" s="76"/>
      <c r="S35" s="76"/>
      <c r="T35" s="76"/>
    </row>
    <row r="36" spans="1:20" x14ac:dyDescent="0.2">
      <c r="A36" s="417"/>
      <c r="B36" s="417"/>
      <c r="C36" s="78"/>
      <c r="D36" s="418"/>
      <c r="E36" s="419"/>
      <c r="F36" s="420"/>
      <c r="G36" s="421"/>
      <c r="H36" s="420"/>
      <c r="I36" s="422"/>
      <c r="J36" s="421"/>
      <c r="K36" s="420"/>
      <c r="L36" s="422"/>
      <c r="M36" s="421"/>
      <c r="N36" s="418"/>
      <c r="O36" s="419"/>
      <c r="P36" s="76"/>
      <c r="Q36" s="76"/>
      <c r="R36" s="77"/>
      <c r="S36" s="77"/>
      <c r="T36" s="73"/>
    </row>
    <row r="37" spans="1:20" x14ac:dyDescent="0.2">
      <c r="E37" s="67" t="s">
        <v>114</v>
      </c>
      <c r="F37" s="71">
        <f>4-18.3-1</f>
        <v>-15.3</v>
      </c>
      <c r="G37" s="64" t="s">
        <v>51</v>
      </c>
      <c r="M37" s="83" t="s">
        <v>85</v>
      </c>
      <c r="N37" s="448">
        <f>SUM(N18:O36)</f>
        <v>804.37499999999989</v>
      </c>
      <c r="O37" s="426"/>
      <c r="Q37" s="67"/>
      <c r="R37" s="449"/>
      <c r="S37" s="449"/>
      <c r="T37" s="77"/>
    </row>
    <row r="38" spans="1:20" x14ac:dyDescent="0.2">
      <c r="E38" s="67" t="s">
        <v>115</v>
      </c>
      <c r="F38" s="64">
        <f>F37-F39</f>
        <v>-42.8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116</v>
      </c>
      <c r="F39" s="64">
        <f>SUM(F18:G36)</f>
        <v>27.499999999999996</v>
      </c>
      <c r="G39" s="64" t="s">
        <v>51</v>
      </c>
    </row>
    <row r="40" spans="1:20" x14ac:dyDescent="0.2">
      <c r="E40" s="67" t="s">
        <v>117</v>
      </c>
      <c r="F40" s="67">
        <f>K10</f>
        <v>2.0420352248333655</v>
      </c>
      <c r="G40" s="80" t="s">
        <v>65</v>
      </c>
      <c r="H40" s="79">
        <f>N37</f>
        <v>804.37499999999989</v>
      </c>
      <c r="I40" s="80"/>
    </row>
    <row r="41" spans="1:20" x14ac:dyDescent="0.2">
      <c r="E41" s="67" t="s">
        <v>66</v>
      </c>
      <c r="F41" s="412">
        <f>F40*H40</f>
        <v>1642.5620839753381</v>
      </c>
      <c r="G41" s="412"/>
      <c r="H41" s="64" t="s">
        <v>64</v>
      </c>
      <c r="I41" s="80"/>
      <c r="J41" s="81"/>
      <c r="K41" s="81"/>
    </row>
    <row r="43" spans="1:20" ht="15.75" customHeight="1" x14ac:dyDescent="0.2">
      <c r="A43" s="96" t="s">
        <v>113</v>
      </c>
      <c r="E43" s="56"/>
      <c r="F43" s="88"/>
      <c r="H43" s="79"/>
      <c r="I43" s="80"/>
    </row>
    <row r="44" spans="1:20" x14ac:dyDescent="0.2">
      <c r="E44" s="56" t="s">
        <v>112</v>
      </c>
      <c r="F44" s="90">
        <v>1300</v>
      </c>
      <c r="G44" s="73" t="s">
        <v>64</v>
      </c>
      <c r="H44" s="95"/>
    </row>
    <row r="45" spans="1:20" x14ac:dyDescent="0.2">
      <c r="E45" s="56" t="s">
        <v>119</v>
      </c>
      <c r="F45" s="91">
        <f>F41/2</f>
        <v>821.28104198766903</v>
      </c>
      <c r="G45" s="73" t="s">
        <v>64</v>
      </c>
      <c r="H45" s="95"/>
    </row>
    <row r="46" spans="1:20" x14ac:dyDescent="0.2">
      <c r="E46" s="56" t="s">
        <v>120</v>
      </c>
      <c r="F46" s="92">
        <f>F44-F41/2</f>
        <v>478.71895801233097</v>
      </c>
      <c r="G46" s="73" t="s">
        <v>64</v>
      </c>
      <c r="H46" s="73"/>
    </row>
  </sheetData>
  <mergeCells count="133">
    <mergeCell ref="N37:O37"/>
    <mergeCell ref="R37:S37"/>
    <mergeCell ref="F41:G41"/>
    <mergeCell ref="A36:B36"/>
    <mergeCell ref="D36:E36"/>
    <mergeCell ref="F36:G36"/>
    <mergeCell ref="H36:J36"/>
    <mergeCell ref="K36:M36"/>
    <mergeCell ref="N36:O36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Z41"/>
  <sheetViews>
    <sheetView view="pageBreakPreview" topLeftCell="A4" zoomScaleNormal="100" zoomScaleSheetLayoutView="100" workbookViewId="0">
      <selection activeCell="G10" sqref="G10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6.710937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76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94" t="s">
        <v>100</v>
      </c>
      <c r="B7" s="54"/>
      <c r="C7" s="54"/>
    </row>
    <row r="8" spans="1:26" s="61" customFormat="1" x14ac:dyDescent="0.2">
      <c r="A8" s="64" t="s">
        <v>121</v>
      </c>
      <c r="D8" s="62"/>
      <c r="E8" s="65"/>
      <c r="J8" s="62"/>
      <c r="K8" s="66"/>
    </row>
    <row r="10" spans="1:26" ht="15.75" x14ac:dyDescent="0.2">
      <c r="D10" s="67" t="s">
        <v>56</v>
      </c>
      <c r="E10" s="68">
        <v>0.65</v>
      </c>
      <c r="F10" s="64" t="s">
        <v>51</v>
      </c>
      <c r="J10" s="67" t="s">
        <v>79</v>
      </c>
      <c r="K10" s="69">
        <f>PI()*E10</f>
        <v>2.0420352248333655</v>
      </c>
      <c r="L10" s="64" t="s">
        <v>51</v>
      </c>
    </row>
    <row r="11" spans="1:26" x14ac:dyDescent="0.2">
      <c r="D11" s="67" t="s">
        <v>52</v>
      </c>
      <c r="E11" s="98">
        <v>4</v>
      </c>
      <c r="F11" s="64" t="s">
        <v>51</v>
      </c>
    </row>
    <row r="12" spans="1:26" x14ac:dyDescent="0.2">
      <c r="D12" s="56" t="s">
        <v>89</v>
      </c>
      <c r="E12" s="97">
        <f>4-18.3-1</f>
        <v>-15.3</v>
      </c>
      <c r="F12" s="64" t="s">
        <v>51</v>
      </c>
      <c r="J12" s="56" t="s">
        <v>90</v>
      </c>
      <c r="K12" s="86">
        <f>K14-E12</f>
        <v>18.93</v>
      </c>
      <c r="L12" s="64" t="s">
        <v>51</v>
      </c>
    </row>
    <row r="14" spans="1:26" x14ac:dyDescent="0.2">
      <c r="E14" s="67" t="s">
        <v>93</v>
      </c>
      <c r="F14" s="55" t="s">
        <v>110</v>
      </c>
      <c r="J14" s="62" t="s">
        <v>94</v>
      </c>
      <c r="K14" s="71">
        <v>3.63</v>
      </c>
      <c r="L14" s="64" t="s">
        <v>51</v>
      </c>
    </row>
    <row r="15" spans="1:26" x14ac:dyDescent="0.2">
      <c r="A15" s="57" t="s">
        <v>57</v>
      </c>
      <c r="F15" s="70"/>
    </row>
    <row r="16" spans="1:26" ht="15.75" customHeight="1" x14ac:dyDescent="0.2">
      <c r="A16" s="430" t="s">
        <v>58</v>
      </c>
      <c r="B16" s="430"/>
      <c r="C16" s="72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3"/>
    </row>
    <row r="17" spans="1:20" ht="15.75" x14ac:dyDescent="0.2">
      <c r="A17" s="431"/>
      <c r="B17" s="431"/>
      <c r="C17" s="5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3"/>
    </row>
    <row r="18" spans="1:20" x14ac:dyDescent="0.2">
      <c r="A18" s="446"/>
      <c r="B18" s="417"/>
      <c r="C18" s="75">
        <f>E11</f>
        <v>4</v>
      </c>
      <c r="D18" s="418"/>
      <c r="E18" s="419"/>
      <c r="F18" s="420">
        <v>0</v>
      </c>
      <c r="G18" s="421"/>
      <c r="H18" s="420">
        <v>0</v>
      </c>
      <c r="I18" s="422"/>
      <c r="J18" s="421"/>
      <c r="K18" s="420"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>
        <v>0</v>
      </c>
      <c r="B19" s="417"/>
      <c r="C19" s="75">
        <f>K14</f>
        <v>3.63</v>
      </c>
      <c r="D19" s="418">
        <f>C18-C19</f>
        <v>0.37000000000000011</v>
      </c>
      <c r="E19" s="419"/>
      <c r="F19" s="420">
        <v>0</v>
      </c>
      <c r="G19" s="421"/>
      <c r="H19" s="420">
        <v>0</v>
      </c>
      <c r="I19" s="422"/>
      <c r="J19" s="421"/>
      <c r="K19" s="420">
        <v>0</v>
      </c>
      <c r="L19" s="422"/>
      <c r="M19" s="421"/>
      <c r="N19" s="418">
        <f t="shared" ref="N19:N30" si="0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95</v>
      </c>
      <c r="B20" s="417"/>
      <c r="C20" s="75">
        <v>1.53</v>
      </c>
      <c r="D20" s="418">
        <f>C19-C20</f>
        <v>2.0999999999999996</v>
      </c>
      <c r="E20" s="419"/>
      <c r="F20" s="420">
        <f>D20</f>
        <v>2.0999999999999996</v>
      </c>
      <c r="G20" s="421"/>
      <c r="H20" s="420">
        <v>15</v>
      </c>
      <c r="I20" s="422"/>
      <c r="J20" s="421"/>
      <c r="K20" s="420">
        <v>1</v>
      </c>
      <c r="L20" s="422"/>
      <c r="M20" s="421"/>
      <c r="N20" s="418">
        <f t="shared" si="0"/>
        <v>31.499999999999993</v>
      </c>
      <c r="O20" s="419"/>
      <c r="P20" s="76"/>
      <c r="R20" s="76"/>
      <c r="S20" s="76"/>
      <c r="T20" s="76"/>
    </row>
    <row r="21" spans="1:20" x14ac:dyDescent="0.2">
      <c r="A21" s="417" t="s">
        <v>92</v>
      </c>
      <c r="B21" s="417"/>
      <c r="C21" s="75">
        <v>0.13</v>
      </c>
      <c r="D21" s="418">
        <f>C20-C21</f>
        <v>1.4</v>
      </c>
      <c r="E21" s="419"/>
      <c r="F21" s="420">
        <f>D21</f>
        <v>1.4</v>
      </c>
      <c r="G21" s="421"/>
      <c r="H21" s="420">
        <v>15</v>
      </c>
      <c r="I21" s="422"/>
      <c r="J21" s="421"/>
      <c r="K21" s="420">
        <v>1</v>
      </c>
      <c r="L21" s="422"/>
      <c r="M21" s="421"/>
      <c r="N21" s="418">
        <f t="shared" si="0"/>
        <v>21</v>
      </c>
      <c r="O21" s="419"/>
      <c r="P21" s="76"/>
      <c r="R21" s="76"/>
      <c r="S21" s="76"/>
      <c r="T21" s="76"/>
    </row>
    <row r="22" spans="1:20" x14ac:dyDescent="0.2">
      <c r="A22" s="417" t="s">
        <v>102</v>
      </c>
      <c r="B22" s="417"/>
      <c r="C22" s="75">
        <v>-8.3699999999999992</v>
      </c>
      <c r="D22" s="418">
        <f>C21-C22</f>
        <v>8.5</v>
      </c>
      <c r="E22" s="419"/>
      <c r="F22" s="420">
        <f>D22</f>
        <v>8.5</v>
      </c>
      <c r="G22" s="421"/>
      <c r="H22" s="420">
        <v>15</v>
      </c>
      <c r="I22" s="422"/>
      <c r="J22" s="421"/>
      <c r="K22" s="420">
        <v>1</v>
      </c>
      <c r="L22" s="422"/>
      <c r="M22" s="421"/>
      <c r="N22" s="418">
        <f t="shared" si="0"/>
        <v>127.5</v>
      </c>
      <c r="O22" s="419"/>
      <c r="P22" s="76"/>
      <c r="R22" s="76"/>
      <c r="S22" s="76"/>
      <c r="T22" s="76"/>
    </row>
    <row r="23" spans="1:20" x14ac:dyDescent="0.2">
      <c r="A23" s="417" t="s">
        <v>107</v>
      </c>
      <c r="B23" s="417"/>
      <c r="C23" s="75">
        <v>-20.37</v>
      </c>
      <c r="D23" s="418">
        <f t="shared" ref="D23:D31" si="1">C22-C23</f>
        <v>12.000000000000002</v>
      </c>
      <c r="E23" s="419"/>
      <c r="F23" s="452">
        <f>C22-E12</f>
        <v>6.9300000000000015</v>
      </c>
      <c r="G23" s="421"/>
      <c r="H23" s="420">
        <v>30</v>
      </c>
      <c r="I23" s="422"/>
      <c r="J23" s="421"/>
      <c r="K23" s="420">
        <v>1</v>
      </c>
      <c r="L23" s="422"/>
      <c r="M23" s="421"/>
      <c r="N23" s="418">
        <f>F23*H23*K23</f>
        <v>207.90000000000003</v>
      </c>
      <c r="O23" s="419"/>
      <c r="P23" s="76"/>
      <c r="R23" s="76"/>
      <c r="S23" s="76"/>
      <c r="T23" s="76"/>
    </row>
    <row r="24" spans="1:20" x14ac:dyDescent="0.2">
      <c r="A24" s="417" t="s">
        <v>103</v>
      </c>
      <c r="B24" s="417"/>
      <c r="C24" s="75">
        <v>-32.369999999999997</v>
      </c>
      <c r="D24" s="418">
        <f t="shared" si="1"/>
        <v>11.999999999999996</v>
      </c>
      <c r="E24" s="419"/>
      <c r="F24" s="420"/>
      <c r="G24" s="421"/>
      <c r="H24" s="420">
        <v>45</v>
      </c>
      <c r="I24" s="422"/>
      <c r="J24" s="421"/>
      <c r="K24" s="420">
        <v>1</v>
      </c>
      <c r="L24" s="422"/>
      <c r="M24" s="421"/>
      <c r="N24" s="418">
        <f t="shared" si="0"/>
        <v>0</v>
      </c>
      <c r="O24" s="419"/>
      <c r="P24" s="76"/>
      <c r="R24" s="76"/>
      <c r="S24" s="76"/>
      <c r="T24" s="76"/>
    </row>
    <row r="25" spans="1:20" x14ac:dyDescent="0.2">
      <c r="A25" s="417" t="s">
        <v>108</v>
      </c>
      <c r="B25" s="417"/>
      <c r="C25" s="75">
        <v>-41.37</v>
      </c>
      <c r="D25" s="418">
        <f t="shared" si="1"/>
        <v>9</v>
      </c>
      <c r="E25" s="419"/>
      <c r="F25" s="420"/>
      <c r="G25" s="421"/>
      <c r="H25" s="420">
        <v>45</v>
      </c>
      <c r="I25" s="422"/>
      <c r="J25" s="421"/>
      <c r="K25" s="420">
        <v>1</v>
      </c>
      <c r="L25" s="422"/>
      <c r="M25" s="421"/>
      <c r="N25" s="459">
        <f>F25*H25*K25</f>
        <v>0</v>
      </c>
      <c r="O25" s="460"/>
      <c r="P25" s="76"/>
      <c r="R25" s="76"/>
      <c r="S25" s="76"/>
      <c r="T25" s="76"/>
    </row>
    <row r="26" spans="1:20" x14ac:dyDescent="0.2">
      <c r="A26" s="417" t="s">
        <v>111</v>
      </c>
      <c r="B26" s="417"/>
      <c r="C26" s="75">
        <v>-45.37</v>
      </c>
      <c r="D26" s="418">
        <f t="shared" si="1"/>
        <v>4</v>
      </c>
      <c r="E26" s="419"/>
      <c r="F26" s="420"/>
      <c r="G26" s="421"/>
      <c r="H26" s="420">
        <v>50</v>
      </c>
      <c r="I26" s="422"/>
      <c r="J26" s="421"/>
      <c r="K26" s="420">
        <v>1</v>
      </c>
      <c r="L26" s="422"/>
      <c r="M26" s="421"/>
      <c r="N26" s="459">
        <f>F26*H26*K26</f>
        <v>0</v>
      </c>
      <c r="O26" s="460"/>
      <c r="P26" s="76"/>
      <c r="R26" s="76"/>
      <c r="S26" s="76"/>
      <c r="T26" s="76"/>
    </row>
    <row r="27" spans="1:20" x14ac:dyDescent="0.2">
      <c r="A27" s="427" t="s">
        <v>98</v>
      </c>
      <c r="B27" s="428"/>
      <c r="C27" s="75">
        <v>-48.67</v>
      </c>
      <c r="D27" s="418">
        <f t="shared" si="1"/>
        <v>3.3000000000000043</v>
      </c>
      <c r="E27" s="419"/>
      <c r="F27" s="420"/>
      <c r="G27" s="421"/>
      <c r="H27" s="420">
        <v>55</v>
      </c>
      <c r="I27" s="422"/>
      <c r="J27" s="421"/>
      <c r="K27" s="420">
        <v>1</v>
      </c>
      <c r="L27" s="422"/>
      <c r="M27" s="421"/>
      <c r="N27" s="459">
        <f t="shared" si="0"/>
        <v>0</v>
      </c>
      <c r="O27" s="460"/>
      <c r="P27" s="76"/>
      <c r="R27" s="76"/>
      <c r="S27" s="76"/>
      <c r="T27" s="76"/>
    </row>
    <row r="28" spans="1:20" x14ac:dyDescent="0.2">
      <c r="A28" s="427" t="s">
        <v>104</v>
      </c>
      <c r="B28" s="428"/>
      <c r="C28" s="75">
        <v>-56.37</v>
      </c>
      <c r="D28" s="418">
        <f t="shared" si="1"/>
        <v>7.6999999999999957</v>
      </c>
      <c r="E28" s="419"/>
      <c r="F28" s="420"/>
      <c r="G28" s="421"/>
      <c r="H28" s="420">
        <v>50</v>
      </c>
      <c r="I28" s="422"/>
      <c r="J28" s="421"/>
      <c r="K28" s="420">
        <v>1</v>
      </c>
      <c r="L28" s="422"/>
      <c r="M28" s="421"/>
      <c r="N28" s="459">
        <f t="shared" si="0"/>
        <v>0</v>
      </c>
      <c r="O28" s="460"/>
      <c r="P28" s="76"/>
      <c r="R28" s="76"/>
      <c r="S28" s="76"/>
      <c r="T28" s="76"/>
    </row>
    <row r="29" spans="1:20" x14ac:dyDescent="0.2">
      <c r="A29" s="427" t="s">
        <v>109</v>
      </c>
      <c r="B29" s="428"/>
      <c r="C29" s="75">
        <v>-63.37</v>
      </c>
      <c r="D29" s="418">
        <f t="shared" si="1"/>
        <v>7</v>
      </c>
      <c r="E29" s="419"/>
      <c r="F29" s="420"/>
      <c r="G29" s="421"/>
      <c r="H29" s="420">
        <v>60</v>
      </c>
      <c r="I29" s="422"/>
      <c r="J29" s="421"/>
      <c r="K29" s="420">
        <v>1</v>
      </c>
      <c r="L29" s="422"/>
      <c r="M29" s="421"/>
      <c r="N29" s="459">
        <f t="shared" si="0"/>
        <v>0</v>
      </c>
      <c r="O29" s="460"/>
      <c r="P29" s="76"/>
      <c r="R29" s="76"/>
      <c r="S29" s="76"/>
      <c r="T29" s="76"/>
    </row>
    <row r="30" spans="1:20" x14ac:dyDescent="0.2">
      <c r="A30" s="427" t="s">
        <v>99</v>
      </c>
      <c r="B30" s="428"/>
      <c r="C30" s="75">
        <v>-65.37</v>
      </c>
      <c r="D30" s="418">
        <f t="shared" si="1"/>
        <v>2.0000000000000071</v>
      </c>
      <c r="E30" s="419"/>
      <c r="F30" s="452"/>
      <c r="G30" s="421"/>
      <c r="H30" s="420">
        <v>65</v>
      </c>
      <c r="I30" s="422"/>
      <c r="J30" s="421"/>
      <c r="K30" s="420">
        <v>1</v>
      </c>
      <c r="L30" s="422"/>
      <c r="M30" s="421"/>
      <c r="N30" s="459">
        <f t="shared" si="0"/>
        <v>0</v>
      </c>
      <c r="O30" s="460"/>
      <c r="P30" s="76"/>
      <c r="R30" s="76"/>
      <c r="S30" s="76"/>
      <c r="T30" s="76"/>
    </row>
    <row r="31" spans="1:20" x14ac:dyDescent="0.2">
      <c r="A31" s="427" t="s">
        <v>106</v>
      </c>
      <c r="B31" s="428"/>
      <c r="C31" s="75">
        <v>-71.37</v>
      </c>
      <c r="D31" s="418">
        <f t="shared" si="1"/>
        <v>6</v>
      </c>
      <c r="E31" s="419"/>
      <c r="F31" s="452"/>
      <c r="G31" s="454"/>
      <c r="H31" s="420">
        <v>82</v>
      </c>
      <c r="I31" s="422"/>
      <c r="J31" s="421"/>
      <c r="K31" s="420"/>
      <c r="L31" s="422"/>
      <c r="M31" s="421"/>
      <c r="N31" s="418"/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/>
      <c r="E32" s="419"/>
      <c r="F32" s="455"/>
      <c r="G32" s="456"/>
      <c r="H32" s="420"/>
      <c r="I32" s="422"/>
      <c r="J32" s="421"/>
      <c r="K32" s="420"/>
      <c r="L32" s="422"/>
      <c r="M32" s="421"/>
      <c r="N32" s="418"/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/>
      <c r="E33" s="419"/>
      <c r="F33" s="457"/>
      <c r="G33" s="458"/>
      <c r="H33" s="420"/>
      <c r="I33" s="422"/>
      <c r="J33" s="421"/>
      <c r="K33" s="420"/>
      <c r="L33" s="422"/>
      <c r="M33" s="421"/>
      <c r="N33" s="418"/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/>
      <c r="E34" s="419"/>
      <c r="F34" s="457"/>
      <c r="G34" s="458"/>
      <c r="H34" s="420"/>
      <c r="I34" s="422"/>
      <c r="J34" s="421"/>
      <c r="K34" s="420"/>
      <c r="L34" s="422"/>
      <c r="M34" s="421"/>
      <c r="N34" s="418"/>
      <c r="O34" s="419"/>
      <c r="P34" s="76"/>
      <c r="R34" s="76"/>
      <c r="S34" s="76"/>
      <c r="T34" s="76"/>
    </row>
    <row r="35" spans="1:20" x14ac:dyDescent="0.2">
      <c r="A35" s="446"/>
      <c r="B35" s="417"/>
      <c r="C35" s="87"/>
      <c r="D35" s="418"/>
      <c r="E35" s="419"/>
      <c r="F35" s="420"/>
      <c r="G35" s="421"/>
      <c r="H35" s="420"/>
      <c r="I35" s="422"/>
      <c r="J35" s="421"/>
      <c r="K35" s="420"/>
      <c r="L35" s="422"/>
      <c r="M35" s="421"/>
      <c r="N35" s="418"/>
      <c r="O35" s="419"/>
      <c r="P35" s="76"/>
      <c r="R35" s="76"/>
      <c r="S35" s="76"/>
      <c r="T35" s="76"/>
    </row>
    <row r="36" spans="1:20" x14ac:dyDescent="0.2">
      <c r="A36" s="417"/>
      <c r="B36" s="417"/>
      <c r="C36" s="78"/>
      <c r="D36" s="418"/>
      <c r="E36" s="419"/>
      <c r="F36" s="420"/>
      <c r="G36" s="421"/>
      <c r="H36" s="420"/>
      <c r="I36" s="422"/>
      <c r="J36" s="421"/>
      <c r="K36" s="420"/>
      <c r="L36" s="422"/>
      <c r="M36" s="421"/>
      <c r="N36" s="418"/>
      <c r="O36" s="419"/>
      <c r="P36" s="76"/>
      <c r="Q36" s="76"/>
      <c r="R36" s="77"/>
      <c r="S36" s="77"/>
      <c r="T36" s="73"/>
    </row>
    <row r="37" spans="1:20" x14ac:dyDescent="0.2">
      <c r="E37" s="67" t="s">
        <v>62</v>
      </c>
      <c r="F37" s="71">
        <f>K14</f>
        <v>3.63</v>
      </c>
      <c r="G37" s="64" t="s">
        <v>51</v>
      </c>
      <c r="M37" s="83" t="s">
        <v>85</v>
      </c>
      <c r="N37" s="459">
        <f>SUM(N18:O36)</f>
        <v>387.90000000000003</v>
      </c>
      <c r="O37" s="460"/>
      <c r="Q37" s="67"/>
      <c r="R37" s="449"/>
      <c r="S37" s="449"/>
      <c r="T37" s="77"/>
    </row>
    <row r="38" spans="1:20" x14ac:dyDescent="0.2">
      <c r="E38" s="67" t="s">
        <v>53</v>
      </c>
      <c r="F38" s="64">
        <f>F37-F39</f>
        <v>-15.3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18.93</v>
      </c>
      <c r="G39" s="64" t="s">
        <v>51</v>
      </c>
    </row>
    <row r="40" spans="1:20" x14ac:dyDescent="0.2">
      <c r="E40" s="67" t="s">
        <v>81</v>
      </c>
      <c r="F40" s="67">
        <f>K10</f>
        <v>2.0420352248333655</v>
      </c>
      <c r="G40" s="80" t="s">
        <v>65</v>
      </c>
      <c r="H40" s="79">
        <f>N37</f>
        <v>387.90000000000003</v>
      </c>
      <c r="I40" s="80"/>
    </row>
    <row r="41" spans="1:20" x14ac:dyDescent="0.2">
      <c r="E41" s="67" t="s">
        <v>66</v>
      </c>
      <c r="F41" s="412">
        <f>F40*H40</f>
        <v>792.1054637128625</v>
      </c>
      <c r="G41" s="412"/>
      <c r="H41" s="64" t="s">
        <v>64</v>
      </c>
      <c r="I41" s="80"/>
      <c r="J41" s="81"/>
      <c r="K41" s="81"/>
    </row>
  </sheetData>
  <mergeCells count="133">
    <mergeCell ref="N37:O37"/>
    <mergeCell ref="R37:S37"/>
    <mergeCell ref="F41:G41"/>
    <mergeCell ref="A36:B36"/>
    <mergeCell ref="D36:E36"/>
    <mergeCell ref="F36:G36"/>
    <mergeCell ref="H36:J36"/>
    <mergeCell ref="K36:M36"/>
    <mergeCell ref="N36:O36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ArupCalc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28</vt:i4>
      </vt:variant>
    </vt:vector>
  </HeadingPairs>
  <TitlesOfParts>
    <vt:vector size="43" baseType="lpstr">
      <vt:lpstr>Cover</vt:lpstr>
      <vt:lpstr>Notes</vt:lpstr>
      <vt:lpstr>InPutSolidPhisicalP</vt:lpstr>
      <vt:lpstr>钢筋强度和模量</vt:lpstr>
      <vt:lpstr>Input</vt:lpstr>
      <vt:lpstr>Output</vt:lpstr>
      <vt:lpstr>PileComparison</vt:lpstr>
      <vt:lpstr>PPTOutPut</vt:lpstr>
      <vt:lpstr>CalSheetPress</vt:lpstr>
      <vt:lpstr>CalSheet</vt:lpstr>
      <vt:lpstr>ReinForcementPress</vt:lpstr>
      <vt:lpstr>Reinforcement</vt:lpstr>
      <vt:lpstr>CalCheckSheet</vt:lpstr>
      <vt:lpstr>D800-拔-0.75L</vt:lpstr>
      <vt:lpstr>试桩D650开挖段</vt:lpstr>
      <vt:lpstr>Authorisation</vt:lpstr>
      <vt:lpstr>Checked</vt:lpstr>
      <vt:lpstr>Date</vt:lpstr>
      <vt:lpstr>DateMade</vt:lpstr>
      <vt:lpstr>Description</vt:lpstr>
      <vt:lpstr>Drawing_Reference</vt:lpstr>
      <vt:lpstr>Filename</vt:lpstr>
      <vt:lpstr>JobNumber</vt:lpstr>
      <vt:lpstr>JobTitle</vt:lpstr>
      <vt:lpstr>MadeBy</vt:lpstr>
      <vt:lpstr>Member_Location</vt:lpstr>
      <vt:lpstr>CalCheckSheet!Print_Area</vt:lpstr>
      <vt:lpstr>CalSheet!Print_Area</vt:lpstr>
      <vt:lpstr>CalSheetPress!Print_Area</vt:lpstr>
      <vt:lpstr>'D800-拔-0.75L'!Print_Area</vt:lpstr>
      <vt:lpstr>Reinforcement!Print_Area</vt:lpstr>
      <vt:lpstr>ReinForcementPress!Print_Area</vt:lpstr>
      <vt:lpstr>试桩D650开挖段!Print_Area</vt:lpstr>
      <vt:lpstr>CalCheckSheet!Print_Titles</vt:lpstr>
      <vt:lpstr>CalSheet!Print_Titles</vt:lpstr>
      <vt:lpstr>CalSheetPress!Print_Titles</vt:lpstr>
      <vt:lpstr>'D800-拔-0.75L'!Print_Titles</vt:lpstr>
      <vt:lpstr>试桩D650开挖段!Print_Titles</vt:lpstr>
      <vt:lpstr>Rev</vt:lpstr>
      <vt:lpstr>Revision</vt:lpstr>
      <vt:lpstr>RevTable1</vt:lpstr>
      <vt:lpstr>SheetNo</vt:lpstr>
      <vt:lpstr>SheetTable1</vt:lpstr>
    </vt:vector>
  </TitlesOfParts>
  <Company>Arup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CalcSheet</dc:title>
  <dc:subject>Pile Capacity</dc:subject>
  <dc:creator>wei-guang ruan</dc:creator>
  <cp:lastModifiedBy>Ze-xing Wang</cp:lastModifiedBy>
  <cp:lastPrinted>2016-02-24T04:11:07Z</cp:lastPrinted>
  <dcterms:created xsi:type="dcterms:W3CDTF">2002-04-19T12:44:17Z</dcterms:created>
  <dcterms:modified xsi:type="dcterms:W3CDTF">2017-07-27T08:13:23Z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ob Number">
    <vt:lpwstr>unknow</vt:lpwstr>
  </property>
  <property fmtid="{D5CDD505-2E9C-101B-9397-08002B2CF9AE}" pid="3" name="Job Title">
    <vt:lpwstr>Tianjin R&amp;F</vt:lpwstr>
  </property>
  <property fmtid="{D5CDD505-2E9C-101B-9397-08002B2CF9AE}" pid="4" name="Made By">
    <vt:lpwstr>RWG</vt:lpwstr>
  </property>
  <property fmtid="{D5CDD505-2E9C-101B-9397-08002B2CF9AE}" pid="5" name="Checked By">
    <vt:lpwstr/>
  </property>
  <property fmtid="{D5CDD505-2E9C-101B-9397-08002B2CF9AE}" pid="6" name="Date">
    <vt:lpwstr>12/16/2009</vt:lpwstr>
  </property>
</Properties>
</file>